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2571860-B88D-4E87-984F-7EA8DB2CC061}" xr6:coauthVersionLast="47" xr6:coauthVersionMax="47" xr10:uidLastSave="{00000000-0000-0000-0000-000000000000}"/>
  <bookViews>
    <workbookView xWindow="-110" yWindow="-110" windowWidth="19420" windowHeight="11020" xr2:uid="{00000000-000D-0000-FFFF-FFFF00000000}"/>
  </bookViews>
  <sheets>
    <sheet name="DATA INPUT " sheetId="4" r:id="rId1"/>
    <sheet name="INTRODUCTION " sheetId="9" r:id="rId2"/>
    <sheet name="PROJECT REPORT " sheetId="1" r:id="rId3"/>
    <sheet name="T,P&amp;L,BS" sheetId="2" r:id="rId4"/>
    <sheet name="Depreciation Schedule" sheetId="10" r:id="rId5"/>
    <sheet name="MUDRA " sheetId="6" r:id="rId6"/>
    <sheet name="Sheet1" sheetId="11"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1" l="1"/>
  <c r="E47" i="11"/>
  <c r="E46" i="11"/>
  <c r="D46" i="11"/>
  <c r="B140" i="6"/>
  <c r="H93" i="6"/>
  <c r="D84" i="6"/>
  <c r="D83" i="6"/>
  <c r="C83" i="6"/>
  <c r="E54" i="6"/>
  <c r="D54" i="6"/>
  <c r="C54" i="6"/>
  <c r="D46" i="6"/>
  <c r="F829" i="10"/>
  <c r="E829" i="10"/>
  <c r="E828" i="10"/>
  <c r="D828" i="10"/>
  <c r="B828" i="10"/>
  <c r="F827" i="10"/>
  <c r="E827" i="10"/>
  <c r="E826" i="10"/>
  <c r="D826" i="10"/>
  <c r="B826" i="10"/>
  <c r="F599" i="10"/>
  <c r="E599" i="10"/>
  <c r="E598" i="10"/>
  <c r="D598" i="10"/>
  <c r="B598" i="10"/>
  <c r="F597" i="10"/>
  <c r="E597" i="10"/>
  <c r="E596" i="10"/>
  <c r="D596" i="10"/>
  <c r="B596" i="10"/>
  <c r="F414" i="10"/>
  <c r="E414" i="10"/>
  <c r="E413" i="10"/>
  <c r="D413" i="10"/>
  <c r="B413" i="10"/>
  <c r="F412" i="10"/>
  <c r="E412" i="10"/>
  <c r="E411" i="10"/>
  <c r="D411" i="10"/>
  <c r="B411" i="10"/>
  <c r="F409" i="10"/>
  <c r="E409" i="10"/>
  <c r="D409" i="10"/>
  <c r="C409" i="10"/>
  <c r="B409" i="10"/>
  <c r="C310" i="10"/>
  <c r="B248" i="10"/>
  <c r="C247" i="10"/>
  <c r="B246" i="10"/>
  <c r="C244" i="10"/>
  <c r="B244" i="10"/>
  <c r="C242" i="10"/>
  <c r="B242" i="10"/>
  <c r="C240" i="10"/>
  <c r="B240" i="10"/>
  <c r="C238" i="10"/>
  <c r="B238" i="10"/>
  <c r="C236" i="10"/>
  <c r="B236" i="10"/>
  <c r="C234" i="10"/>
  <c r="B234" i="10"/>
  <c r="C232" i="10"/>
  <c r="B232" i="10"/>
  <c r="C230" i="10"/>
  <c r="B230" i="10"/>
  <c r="C228" i="10"/>
  <c r="B228" i="10"/>
  <c r="C226" i="10"/>
  <c r="B226" i="10"/>
  <c r="C224" i="10"/>
  <c r="B224" i="10"/>
  <c r="C222" i="10"/>
  <c r="B222" i="10"/>
  <c r="C220" i="10"/>
  <c r="B220" i="10"/>
  <c r="C218" i="10"/>
  <c r="B218" i="10"/>
  <c r="C216" i="10"/>
  <c r="B216" i="10"/>
  <c r="F214" i="10"/>
  <c r="E214" i="10"/>
  <c r="C214" i="10"/>
  <c r="B214" i="10"/>
  <c r="E213" i="10"/>
  <c r="D213" i="10"/>
  <c r="B213" i="10"/>
  <c r="F212" i="10"/>
  <c r="E212" i="10"/>
  <c r="C212" i="10"/>
  <c r="B212" i="10"/>
  <c r="E211" i="10"/>
  <c r="D211" i="10"/>
  <c r="B211" i="10"/>
  <c r="F209" i="10"/>
  <c r="E209" i="10"/>
  <c r="D209" i="10"/>
  <c r="C209" i="10"/>
  <c r="B209" i="10"/>
  <c r="F25" i="10"/>
  <c r="E25" i="10"/>
  <c r="E24" i="10"/>
  <c r="D24" i="10"/>
  <c r="B24" i="10"/>
  <c r="F23" i="10"/>
  <c r="E23" i="10"/>
  <c r="E22" i="10"/>
  <c r="D22" i="10"/>
  <c r="B22" i="10"/>
  <c r="A17" i="10"/>
  <c r="A206" i="10" s="1"/>
  <c r="D560" i="2"/>
  <c r="A559" i="2"/>
  <c r="A558" i="2"/>
  <c r="D557" i="2"/>
  <c r="C553" i="2"/>
  <c r="C552" i="2"/>
  <c r="C551" i="2"/>
  <c r="C550" i="2"/>
  <c r="A549" i="2"/>
  <c r="F547" i="2"/>
  <c r="A547" i="2"/>
  <c r="F546" i="2"/>
  <c r="A546" i="2"/>
  <c r="C545" i="2"/>
  <c r="B545" i="2"/>
  <c r="B544" i="2"/>
  <c r="A544" i="2"/>
  <c r="F543" i="2"/>
  <c r="A543" i="2"/>
  <c r="A542" i="2"/>
  <c r="D541" i="2"/>
  <c r="A541" i="2"/>
  <c r="B537" i="2"/>
  <c r="F536" i="2"/>
  <c r="E536" i="2"/>
  <c r="E535" i="2"/>
  <c r="D535" i="2"/>
  <c r="D534" i="2"/>
  <c r="B534" i="2"/>
  <c r="A533" i="2"/>
  <c r="C530" i="2"/>
  <c r="C529" i="2"/>
  <c r="A526" i="2"/>
  <c r="A525" i="2"/>
  <c r="D524" i="2"/>
  <c r="C520" i="2"/>
  <c r="C519" i="2"/>
  <c r="C518" i="2"/>
  <c r="C517" i="2"/>
  <c r="C516" i="2"/>
  <c r="C515" i="2"/>
  <c r="C514" i="2"/>
  <c r="C513" i="2"/>
  <c r="C512" i="2"/>
  <c r="C511" i="2"/>
  <c r="C510" i="2"/>
  <c r="C509" i="2"/>
  <c r="C508" i="2"/>
  <c r="C507" i="2"/>
  <c r="F504" i="2"/>
  <c r="C501" i="2"/>
  <c r="A501" i="2"/>
  <c r="D500" i="2"/>
  <c r="C500" i="2"/>
  <c r="C495" i="2"/>
  <c r="C494" i="2"/>
  <c r="D487" i="2"/>
  <c r="A486" i="2"/>
  <c r="C480" i="2"/>
  <c r="C479" i="2"/>
  <c r="C478" i="2"/>
  <c r="C477" i="2"/>
  <c r="A476" i="2"/>
  <c r="F474" i="2"/>
  <c r="A474" i="2"/>
  <c r="F473" i="2"/>
  <c r="A473" i="2"/>
  <c r="C472" i="2"/>
  <c r="B472" i="2"/>
  <c r="B471" i="2"/>
  <c r="A470" i="2"/>
  <c r="D468" i="2"/>
  <c r="A468" i="2"/>
  <c r="A466" i="2"/>
  <c r="B464" i="2"/>
  <c r="D462" i="2"/>
  <c r="D461" i="2"/>
  <c r="A460" i="2"/>
  <c r="A453" i="2"/>
  <c r="C434" i="2"/>
  <c r="A428" i="2"/>
  <c r="D427" i="2"/>
  <c r="D419" i="2"/>
  <c r="L409" i="2"/>
  <c r="L408" i="2"/>
  <c r="A408" i="2"/>
  <c r="F406" i="2"/>
  <c r="A406" i="2"/>
  <c r="A405" i="2"/>
  <c r="C404" i="2"/>
  <c r="B404" i="2"/>
  <c r="B403" i="2"/>
  <c r="A402" i="2"/>
  <c r="D400" i="2"/>
  <c r="A400" i="2"/>
  <c r="A398" i="2"/>
  <c r="B396" i="2"/>
  <c r="D394" i="2"/>
  <c r="D393" i="2"/>
  <c r="A392" i="2"/>
  <c r="C365" i="2"/>
  <c r="A359" i="2"/>
  <c r="D358" i="2"/>
  <c r="D349" i="2"/>
  <c r="L340" i="2"/>
  <c r="L339" i="2"/>
  <c r="F338" i="2"/>
  <c r="A338" i="2"/>
  <c r="A336" i="2"/>
  <c r="A335" i="2"/>
  <c r="B333" i="2"/>
  <c r="D332" i="2"/>
  <c r="A332" i="2"/>
  <c r="A330" i="2"/>
  <c r="A328" i="2"/>
  <c r="B326" i="2"/>
  <c r="D324" i="2"/>
  <c r="D323" i="2"/>
  <c r="A322" i="2"/>
  <c r="G294" i="2"/>
  <c r="C294" i="2"/>
  <c r="G293" i="2"/>
  <c r="A289" i="2"/>
  <c r="D288" i="2"/>
  <c r="D279" i="2"/>
  <c r="A269" i="2"/>
  <c r="A266" i="2"/>
  <c r="A265" i="2"/>
  <c r="L264" i="2"/>
  <c r="F264" i="2"/>
  <c r="L263" i="2"/>
  <c r="B263" i="2"/>
  <c r="A262" i="2"/>
  <c r="D260" i="2"/>
  <c r="A260" i="2"/>
  <c r="A258" i="2"/>
  <c r="G256" i="2"/>
  <c r="B256" i="2"/>
  <c r="D254" i="2"/>
  <c r="D253" i="2"/>
  <c r="A252" i="2"/>
  <c r="D245" i="2"/>
  <c r="C224" i="2"/>
  <c r="A219" i="2"/>
  <c r="D218" i="2"/>
  <c r="D209" i="2"/>
  <c r="F196" i="2"/>
  <c r="L194" i="2"/>
  <c r="B194" i="2"/>
  <c r="L193" i="2"/>
  <c r="A193" i="2"/>
  <c r="A191" i="2"/>
  <c r="A189" i="2"/>
  <c r="B187" i="2"/>
  <c r="G185" i="2"/>
  <c r="D185" i="2"/>
  <c r="A183" i="2"/>
  <c r="D176" i="2"/>
  <c r="A168" i="2"/>
  <c r="A167" i="2"/>
  <c r="A166" i="2"/>
  <c r="C155" i="2"/>
  <c r="A150" i="2"/>
  <c r="D149" i="2"/>
  <c r="D140" i="2"/>
  <c r="F127" i="2"/>
  <c r="B123" i="2"/>
  <c r="L122" i="2"/>
  <c r="L121" i="2"/>
  <c r="B117" i="2"/>
  <c r="D105" i="2"/>
  <c r="C84" i="2"/>
  <c r="C73" i="2"/>
  <c r="C110" i="2" s="1"/>
  <c r="C144" i="2" s="1"/>
  <c r="C180" i="2" s="1"/>
  <c r="C213" i="2" s="1"/>
  <c r="C249" i="2" s="1"/>
  <c r="C283" i="2" s="1"/>
  <c r="C319" i="2" s="1"/>
  <c r="C353" i="2" s="1"/>
  <c r="C389" i="2" s="1"/>
  <c r="C422" i="2" s="1"/>
  <c r="C457" i="2" s="1"/>
  <c r="F58" i="2"/>
  <c r="C58" i="2"/>
  <c r="G56" i="2"/>
  <c r="G49" i="2"/>
  <c r="F47" i="2"/>
  <c r="E47" i="2"/>
  <c r="I46" i="2"/>
  <c r="G46" i="2"/>
  <c r="E46" i="2"/>
  <c r="D46" i="2"/>
  <c r="F45" i="2"/>
  <c r="E45" i="2"/>
  <c r="I44" i="2"/>
  <c r="E44" i="2"/>
  <c r="D44" i="2"/>
  <c r="C44" i="2"/>
  <c r="F43" i="2"/>
  <c r="E43" i="2"/>
  <c r="B43" i="2"/>
  <c r="I42" i="2"/>
  <c r="E42" i="2"/>
  <c r="D42" i="2"/>
  <c r="B42" i="2"/>
  <c r="F26" i="2"/>
  <c r="C26" i="2"/>
  <c r="C24" i="2"/>
  <c r="C22" i="2"/>
  <c r="G21" i="2"/>
  <c r="F13" i="2"/>
  <c r="F11" i="2"/>
  <c r="C11" i="2"/>
  <c r="C10" i="2"/>
  <c r="F9" i="2"/>
  <c r="B847" i="1"/>
  <c r="O8" i="1" s="1"/>
  <c r="O9" i="1" s="1"/>
  <c r="P814" i="1"/>
  <c r="N814" i="1"/>
  <c r="L814" i="1"/>
  <c r="J814" i="1"/>
  <c r="H814" i="1"/>
  <c r="F814" i="1"/>
  <c r="D814" i="1"/>
  <c r="P763" i="1"/>
  <c r="N763" i="1"/>
  <c r="L763" i="1"/>
  <c r="J763" i="1"/>
  <c r="H763" i="1"/>
  <c r="F763" i="1"/>
  <c r="D763" i="1"/>
  <c r="P662" i="1"/>
  <c r="N662" i="1"/>
  <c r="L662" i="1"/>
  <c r="J662" i="1"/>
  <c r="H662" i="1"/>
  <c r="F662" i="1"/>
  <c r="D662" i="1"/>
  <c r="P649" i="1"/>
  <c r="N649" i="1"/>
  <c r="L649" i="1"/>
  <c r="J649" i="1"/>
  <c r="H649" i="1"/>
  <c r="L562" i="1"/>
  <c r="L552" i="1"/>
  <c r="J471" i="1"/>
  <c r="J469" i="1"/>
  <c r="D469" i="1"/>
  <c r="J467" i="1"/>
  <c r="J452" i="1"/>
  <c r="J451" i="1"/>
  <c r="J450" i="1"/>
  <c r="J449" i="1"/>
  <c r="L419" i="1"/>
  <c r="L582" i="1" s="1"/>
  <c r="D759" i="1" s="1"/>
  <c r="H393" i="1"/>
  <c r="F393" i="1"/>
  <c r="H392" i="1"/>
  <c r="H391" i="1"/>
  <c r="L389" i="1"/>
  <c r="D305" i="1"/>
  <c r="H270" i="1"/>
  <c r="F270" i="1"/>
  <c r="B270" i="1"/>
  <c r="H269" i="1"/>
  <c r="F269" i="1"/>
  <c r="B269" i="1"/>
  <c r="H268" i="1"/>
  <c r="F268" i="1"/>
  <c r="B268" i="1"/>
  <c r="H267" i="1"/>
  <c r="F267" i="1"/>
  <c r="B267" i="1"/>
  <c r="H266" i="1"/>
  <c r="F266" i="1"/>
  <c r="B266" i="1"/>
  <c r="H265" i="1"/>
  <c r="F265" i="1"/>
  <c r="B265" i="1"/>
  <c r="H264" i="1"/>
  <c r="F264" i="1"/>
  <c r="B264" i="1"/>
  <c r="H263" i="1"/>
  <c r="J263" i="1" s="1"/>
  <c r="F263" i="1"/>
  <c r="B263" i="1"/>
  <c r="H262" i="1"/>
  <c r="F262" i="1"/>
  <c r="B262" i="1"/>
  <c r="H261" i="1"/>
  <c r="J261" i="1" s="1"/>
  <c r="F261" i="1"/>
  <c r="B261" i="1"/>
  <c r="H260" i="1"/>
  <c r="J260" i="1" s="1"/>
  <c r="F260" i="1"/>
  <c r="B260" i="1"/>
  <c r="H259" i="1"/>
  <c r="F259" i="1"/>
  <c r="B259" i="1"/>
  <c r="H258" i="1"/>
  <c r="F258" i="1"/>
  <c r="B258" i="1"/>
  <c r="H257" i="1"/>
  <c r="F257" i="1"/>
  <c r="B257" i="1"/>
  <c r="H256" i="1"/>
  <c r="F256" i="1"/>
  <c r="B256" i="1"/>
  <c r="H255" i="1"/>
  <c r="F255" i="1"/>
  <c r="B255" i="1"/>
  <c r="H254" i="1"/>
  <c r="J254" i="1" s="1"/>
  <c r="F254" i="1"/>
  <c r="B254" i="1"/>
  <c r="H253" i="1"/>
  <c r="J253" i="1" s="1"/>
  <c r="F253" i="1"/>
  <c r="B253" i="1"/>
  <c r="H252" i="1"/>
  <c r="F252" i="1"/>
  <c r="B252" i="1"/>
  <c r="H251" i="1"/>
  <c r="F251" i="1"/>
  <c r="B251" i="1"/>
  <c r="H250" i="1"/>
  <c r="F250" i="1"/>
  <c r="J250" i="1" s="1"/>
  <c r="B250" i="1"/>
  <c r="H249" i="1"/>
  <c r="F249" i="1"/>
  <c r="B249" i="1"/>
  <c r="H248" i="1"/>
  <c r="J248" i="1" s="1"/>
  <c r="F248" i="1"/>
  <c r="B248" i="1"/>
  <c r="H247" i="1"/>
  <c r="F247" i="1"/>
  <c r="B247" i="1"/>
  <c r="H246" i="1"/>
  <c r="F246" i="1"/>
  <c r="J246" i="1" s="1"/>
  <c r="B246" i="1"/>
  <c r="H245" i="1"/>
  <c r="J245" i="1" s="1"/>
  <c r="F245" i="1"/>
  <c r="B245" i="1"/>
  <c r="H244" i="1"/>
  <c r="J244" i="1" s="1"/>
  <c r="F244" i="1"/>
  <c r="B244" i="1"/>
  <c r="H243" i="1"/>
  <c r="F243" i="1"/>
  <c r="B243" i="1"/>
  <c r="H242" i="1"/>
  <c r="F242" i="1"/>
  <c r="B242" i="1"/>
  <c r="H241" i="1"/>
  <c r="F241" i="1"/>
  <c r="B241" i="1"/>
  <c r="H240" i="1"/>
  <c r="F240" i="1"/>
  <c r="B240" i="1"/>
  <c r="H239" i="1"/>
  <c r="F239" i="1"/>
  <c r="B239" i="1"/>
  <c r="H238" i="1"/>
  <c r="J238" i="1" s="1"/>
  <c r="F238" i="1"/>
  <c r="B238" i="1"/>
  <c r="J237" i="1"/>
  <c r="H236" i="1"/>
  <c r="J236" i="1" s="1"/>
  <c r="B236" i="1"/>
  <c r="F108" i="1"/>
  <c r="D108" i="1"/>
  <c r="B108" i="1"/>
  <c r="F107" i="1"/>
  <c r="D107" i="1"/>
  <c r="B107" i="1"/>
  <c r="F106" i="1"/>
  <c r="D106" i="1"/>
  <c r="B106" i="1"/>
  <c r="F105" i="1"/>
  <c r="D105" i="1"/>
  <c r="B105" i="1"/>
  <c r="F104" i="1"/>
  <c r="D104" i="1"/>
  <c r="B104" i="1"/>
  <c r="B58" i="10" s="1"/>
  <c r="B247" i="10" s="1"/>
  <c r="B447" i="10" s="1"/>
  <c r="B632" i="10" s="1"/>
  <c r="B862" i="10" s="1"/>
  <c r="F103" i="1"/>
  <c r="D103" i="1"/>
  <c r="B103" i="1"/>
  <c r="B56" i="10" s="1"/>
  <c r="B245" i="10" s="1"/>
  <c r="B445" i="10" s="1"/>
  <c r="B630" i="10" s="1"/>
  <c r="B860" i="10" s="1"/>
  <c r="F102" i="1"/>
  <c r="D102" i="1"/>
  <c r="B102" i="1"/>
  <c r="B54" i="10" s="1"/>
  <c r="B243" i="10" s="1"/>
  <c r="B443" i="10" s="1"/>
  <c r="B628" i="10" s="1"/>
  <c r="B858" i="10" s="1"/>
  <c r="F101" i="1"/>
  <c r="D101" i="1"/>
  <c r="B101" i="1"/>
  <c r="B52" i="10" s="1"/>
  <c r="B241" i="10" s="1"/>
  <c r="B441" i="10" s="1"/>
  <c r="B626" i="10" s="1"/>
  <c r="B856" i="10" s="1"/>
  <c r="F100" i="1"/>
  <c r="D100" i="1"/>
  <c r="H100" i="1" s="1"/>
  <c r="D50" i="10" s="1"/>
  <c r="E50" i="10" s="1"/>
  <c r="B100" i="1"/>
  <c r="B50" i="10" s="1"/>
  <c r="B239" i="10" s="1"/>
  <c r="B439" i="10" s="1"/>
  <c r="B624" i="10" s="1"/>
  <c r="B854" i="10" s="1"/>
  <c r="F99" i="1"/>
  <c r="D99" i="1"/>
  <c r="B99" i="1"/>
  <c r="B48" i="10" s="1"/>
  <c r="B237" i="10" s="1"/>
  <c r="B437" i="10" s="1"/>
  <c r="B622" i="10" s="1"/>
  <c r="B852" i="10" s="1"/>
  <c r="F98" i="1"/>
  <c r="D98" i="1"/>
  <c r="B98" i="1"/>
  <c r="B46" i="10" s="1"/>
  <c r="B235" i="10" s="1"/>
  <c r="B435" i="10" s="1"/>
  <c r="B620" i="10" s="1"/>
  <c r="B850" i="10" s="1"/>
  <c r="F97" i="1"/>
  <c r="D97" i="1"/>
  <c r="B97" i="1"/>
  <c r="B44" i="10" s="1"/>
  <c r="B233" i="10" s="1"/>
  <c r="B433" i="10" s="1"/>
  <c r="B618" i="10" s="1"/>
  <c r="B848" i="10" s="1"/>
  <c r="F96" i="1"/>
  <c r="D96" i="1"/>
  <c r="B96" i="1"/>
  <c r="B42" i="10" s="1"/>
  <c r="B231" i="10" s="1"/>
  <c r="B431" i="10" s="1"/>
  <c r="B616" i="10" s="1"/>
  <c r="B846" i="10" s="1"/>
  <c r="F95" i="1"/>
  <c r="D95" i="1"/>
  <c r="B95" i="1"/>
  <c r="B40" i="10" s="1"/>
  <c r="B229" i="10" s="1"/>
  <c r="B429" i="10" s="1"/>
  <c r="B614" i="10" s="1"/>
  <c r="B844" i="10" s="1"/>
  <c r="F94" i="1"/>
  <c r="D94" i="1"/>
  <c r="B94" i="1"/>
  <c r="B38" i="10" s="1"/>
  <c r="B227" i="10" s="1"/>
  <c r="B427" i="10" s="1"/>
  <c r="B612" i="10" s="1"/>
  <c r="B842" i="10" s="1"/>
  <c r="F93" i="1"/>
  <c r="D93" i="1"/>
  <c r="B93" i="1"/>
  <c r="B36" i="10" s="1"/>
  <c r="B225" i="10" s="1"/>
  <c r="B425" i="10" s="1"/>
  <c r="B610" i="10" s="1"/>
  <c r="B840" i="10" s="1"/>
  <c r="F92" i="1"/>
  <c r="H92" i="1" s="1"/>
  <c r="D34" i="10" s="1"/>
  <c r="E34" i="10" s="1"/>
  <c r="B92" i="1"/>
  <c r="B34" i="10" s="1"/>
  <c r="B223" i="10" s="1"/>
  <c r="B423" i="10" s="1"/>
  <c r="B608" i="10" s="1"/>
  <c r="B838" i="10" s="1"/>
  <c r="F91" i="1"/>
  <c r="D91" i="1"/>
  <c r="H91" i="1" s="1"/>
  <c r="D32" i="10" s="1"/>
  <c r="E32" i="10" s="1"/>
  <c r="B91" i="1"/>
  <c r="B32" i="10" s="1"/>
  <c r="B221" i="10" s="1"/>
  <c r="B421" i="10" s="1"/>
  <c r="B606" i="10" s="1"/>
  <c r="B836" i="10" s="1"/>
  <c r="F90" i="1"/>
  <c r="D90" i="1"/>
  <c r="B90" i="1"/>
  <c r="B30" i="10" s="1"/>
  <c r="B219" i="10" s="1"/>
  <c r="B419" i="10" s="1"/>
  <c r="B604" i="10" s="1"/>
  <c r="B834" i="10" s="1"/>
  <c r="F89" i="1"/>
  <c r="D89" i="1"/>
  <c r="B89" i="1"/>
  <c r="B28" i="10" s="1"/>
  <c r="B217" i="10" s="1"/>
  <c r="B417" i="10" s="1"/>
  <c r="B602" i="10" s="1"/>
  <c r="B832" i="10" s="1"/>
  <c r="F88" i="1"/>
  <c r="D88" i="1"/>
  <c r="B88" i="1"/>
  <c r="B26" i="10" s="1"/>
  <c r="B215" i="10" s="1"/>
  <c r="B415" i="10" s="1"/>
  <c r="B600" i="10" s="1"/>
  <c r="B830" i="10" s="1"/>
  <c r="F87" i="1"/>
  <c r="D87" i="1"/>
  <c r="H87" i="1" s="1"/>
  <c r="B87" i="1"/>
  <c r="F85" i="1"/>
  <c r="H85" i="1" s="1"/>
  <c r="B85" i="1"/>
  <c r="O62" i="1"/>
  <c r="H53" i="1"/>
  <c r="H52" i="1"/>
  <c r="J51" i="1"/>
  <c r="H45" i="1"/>
  <c r="H41" i="1"/>
  <c r="P40" i="1"/>
  <c r="P38" i="1"/>
  <c r="G103" i="6" s="1"/>
  <c r="H31" i="1"/>
  <c r="H47" i="6" s="1"/>
  <c r="H30" i="1"/>
  <c r="G47" i="6" s="1"/>
  <c r="H29" i="1"/>
  <c r="H28" i="1"/>
  <c r="E32" i="6" s="1"/>
  <c r="H27" i="1"/>
  <c r="H26" i="1"/>
  <c r="B54" i="6" s="1"/>
  <c r="H24" i="1"/>
  <c r="C46" i="6" s="1"/>
  <c r="H23" i="1"/>
  <c r="H22" i="1"/>
  <c r="O21" i="1"/>
  <c r="P16" i="1" s="1"/>
  <c r="H21" i="1"/>
  <c r="E48" i="6" s="1"/>
  <c r="H20" i="1"/>
  <c r="E47" i="6" s="1"/>
  <c r="H19" i="1"/>
  <c r="E46" i="6" s="1"/>
  <c r="H18" i="1"/>
  <c r="B18" i="1"/>
  <c r="H16" i="1"/>
  <c r="H15" i="1"/>
  <c r="G23" i="6" s="1"/>
  <c r="H14" i="1"/>
  <c r="H13" i="1"/>
  <c r="C29" i="6" s="1"/>
  <c r="O12" i="1"/>
  <c r="H12" i="1"/>
  <c r="O11" i="1"/>
  <c r="H11" i="1"/>
  <c r="C27" i="6" s="1"/>
  <c r="H10" i="1"/>
  <c r="H8" i="1"/>
  <c r="C26" i="6" s="1"/>
  <c r="H7" i="1"/>
  <c r="D26" i="6" s="1"/>
  <c r="H6" i="1"/>
  <c r="G153" i="9"/>
  <c r="E151" i="9"/>
  <c r="E150" i="9"/>
  <c r="E149" i="9"/>
  <c r="B128" i="9"/>
  <c r="F126" i="9"/>
  <c r="D126" i="9"/>
  <c r="D125" i="9"/>
  <c r="D124" i="9"/>
  <c r="D123" i="9"/>
  <c r="B123" i="9"/>
  <c r="E106" i="9"/>
  <c r="C104" i="9"/>
  <c r="C103" i="9"/>
  <c r="B100" i="9"/>
  <c r="B46" i="9"/>
  <c r="B43" i="9"/>
  <c r="D10" i="9"/>
  <c r="C105" i="9" s="1"/>
  <c r="D9" i="9"/>
  <c r="D8" i="9"/>
  <c r="I7" i="9"/>
  <c r="H6" i="9"/>
  <c r="H5" i="9"/>
  <c r="G162" i="4"/>
  <c r="G161" i="4"/>
  <c r="G160" i="4"/>
  <c r="I111" i="4"/>
  <c r="H109" i="4"/>
  <c r="H108" i="4"/>
  <c r="H107" i="4"/>
  <c r="H106" i="4"/>
  <c r="H105" i="4"/>
  <c r="H104" i="4"/>
  <c r="H103" i="4"/>
  <c r="H102" i="4"/>
  <c r="H101" i="4"/>
  <c r="H100" i="4"/>
  <c r="H99" i="4"/>
  <c r="H98" i="4"/>
  <c r="H97" i="4"/>
  <c r="H96" i="4"/>
  <c r="H95" i="4"/>
  <c r="H94" i="4"/>
  <c r="H93" i="4"/>
  <c r="G93" i="4"/>
  <c r="H92" i="4"/>
  <c r="G92" i="4"/>
  <c r="H91" i="4"/>
  <c r="G91" i="4"/>
  <c r="H90" i="4"/>
  <c r="G90" i="4"/>
  <c r="H89" i="4"/>
  <c r="G89" i="4"/>
  <c r="H88" i="4"/>
  <c r="G88" i="4"/>
  <c r="H87" i="4"/>
  <c r="G87" i="4"/>
  <c r="H86" i="4"/>
  <c r="G86" i="4"/>
  <c r="G78" i="4"/>
  <c r="G61" i="4"/>
  <c r="G60" i="4"/>
  <c r="G59" i="4"/>
  <c r="G58" i="4"/>
  <c r="G57" i="4"/>
  <c r="G56" i="4"/>
  <c r="G55" i="4"/>
  <c r="G54" i="4"/>
  <c r="G53" i="4"/>
  <c r="G44" i="4"/>
  <c r="H90" i="1" l="1"/>
  <c r="D30" i="10" s="1"/>
  <c r="E30" i="10" s="1"/>
  <c r="E31" i="10" s="1"/>
  <c r="F31" i="10" s="1"/>
  <c r="D219" i="10" s="1"/>
  <c r="E219" i="10" s="1"/>
  <c r="J258" i="1"/>
  <c r="J240" i="1"/>
  <c r="J269" i="1"/>
  <c r="H99" i="1"/>
  <c r="D48" i="10" s="1"/>
  <c r="E48" i="10" s="1"/>
  <c r="E49" i="10" s="1"/>
  <c r="F49" i="10" s="1"/>
  <c r="D237" i="10" s="1"/>
  <c r="E237" i="10" s="1"/>
  <c r="H107" i="1"/>
  <c r="J251" i="1"/>
  <c r="J270" i="1"/>
  <c r="H108" i="1"/>
  <c r="H94" i="1"/>
  <c r="D38" i="10" s="1"/>
  <c r="E38" i="10" s="1"/>
  <c r="H102" i="1"/>
  <c r="J256" i="1"/>
  <c r="H89" i="1"/>
  <c r="D28" i="10" s="1"/>
  <c r="E28" i="10" s="1"/>
  <c r="H97" i="1"/>
  <c r="D44" i="10" s="1"/>
  <c r="E44" i="10" s="1"/>
  <c r="E45" i="10" s="1"/>
  <c r="F45" i="10" s="1"/>
  <c r="D233" i="10" s="1"/>
  <c r="E233" i="10" s="1"/>
  <c r="H105" i="1"/>
  <c r="J241" i="1"/>
  <c r="J264" i="1"/>
  <c r="J267" i="1"/>
  <c r="J252" i="1"/>
  <c r="J257" i="1"/>
  <c r="J262" i="1"/>
  <c r="J242" i="1"/>
  <c r="J247" i="1"/>
  <c r="H96" i="1"/>
  <c r="D42" i="10" s="1"/>
  <c r="E42" i="10" s="1"/>
  <c r="H104" i="1"/>
  <c r="D58" i="10" s="1"/>
  <c r="E58" i="10" s="1"/>
  <c r="E59" i="10" s="1"/>
  <c r="F59" i="10" s="1"/>
  <c r="D247" i="10" s="1"/>
  <c r="E247" i="10" s="1"/>
  <c r="J268" i="1"/>
  <c r="H88" i="1"/>
  <c r="D26" i="10" s="1"/>
  <c r="J266" i="1"/>
  <c r="J249" i="1"/>
  <c r="J265" i="1"/>
  <c r="H95" i="1"/>
  <c r="D40" i="10" s="1"/>
  <c r="E40" i="10" s="1"/>
  <c r="H98" i="1"/>
  <c r="D46" i="10" s="1"/>
  <c r="E46" i="10" s="1"/>
  <c r="E47" i="10" s="1"/>
  <c r="F47" i="10" s="1"/>
  <c r="D235" i="10" s="1"/>
  <c r="E235" i="10" s="1"/>
  <c r="H103" i="1"/>
  <c r="D56" i="10" s="1"/>
  <c r="E56" i="10" s="1"/>
  <c r="E57" i="10" s="1"/>
  <c r="F57" i="10" s="1"/>
  <c r="D245" i="10" s="1"/>
  <c r="E245" i="10" s="1"/>
  <c r="H106" i="1"/>
  <c r="J243" i="1"/>
  <c r="J259" i="1"/>
  <c r="H93" i="1"/>
  <c r="D36" i="10" s="1"/>
  <c r="E36" i="10" s="1"/>
  <c r="E37" i="10" s="1"/>
  <c r="F37" i="10" s="1"/>
  <c r="D225" i="10" s="1"/>
  <c r="E225" i="10" s="1"/>
  <c r="H101" i="1"/>
  <c r="D52" i="10" s="1"/>
  <c r="E52" i="10" s="1"/>
  <c r="E53" i="10" s="1"/>
  <c r="F53" i="10" s="1"/>
  <c r="D241" i="10" s="1"/>
  <c r="E241" i="10" s="1"/>
  <c r="J239" i="1"/>
  <c r="J255" i="1"/>
  <c r="A122" i="2"/>
  <c r="A192" i="2" s="1"/>
  <c r="A261" i="2" s="1"/>
  <c r="A331" i="2" s="1"/>
  <c r="A401" i="2" s="1"/>
  <c r="A469" i="2" s="1"/>
  <c r="A124" i="2"/>
  <c r="A194" i="2" s="1"/>
  <c r="A263" i="2" s="1"/>
  <c r="A333" i="2" s="1"/>
  <c r="A403" i="2" s="1"/>
  <c r="A471" i="2" s="1"/>
  <c r="A539" i="2" s="1"/>
  <c r="E39" i="10"/>
  <c r="F39" i="10" s="1"/>
  <c r="D227" i="10" s="1"/>
  <c r="E227" i="10" s="1"/>
  <c r="D39" i="10"/>
  <c r="D54" i="10"/>
  <c r="E54" i="10" s="1"/>
  <c r="E51" i="10"/>
  <c r="F51" i="10" s="1"/>
  <c r="D239" i="10" s="1"/>
  <c r="E239" i="10" s="1"/>
  <c r="F759" i="1"/>
  <c r="C94" i="2"/>
  <c r="H17" i="1"/>
  <c r="R9" i="1"/>
  <c r="R12" i="1"/>
  <c r="B127" i="9" s="1"/>
  <c r="E41" i="10"/>
  <c r="A14" i="6"/>
  <c r="C18" i="6" s="1"/>
  <c r="C72" i="2"/>
  <c r="B5" i="9"/>
  <c r="B102" i="9" s="1"/>
  <c r="E26" i="10"/>
  <c r="C93" i="6"/>
  <c r="L471" i="1"/>
  <c r="B447" i="1"/>
  <c r="H165" i="1"/>
  <c r="H167" i="1" s="1"/>
  <c r="L167" i="1" s="1"/>
  <c r="E43" i="10"/>
  <c r="F43" i="10" s="1"/>
  <c r="D231" i="10" s="1"/>
  <c r="E231" i="10" s="1"/>
  <c r="C406" i="10"/>
  <c r="C823" i="10"/>
  <c r="B142" i="6"/>
  <c r="E14" i="6"/>
  <c r="E35" i="10"/>
  <c r="F35" i="10" s="1"/>
  <c r="D223" i="10" s="1"/>
  <c r="E223" i="10" s="1"/>
  <c r="G29" i="6"/>
  <c r="C28" i="6"/>
  <c r="B846" i="1"/>
  <c r="A103" i="2" s="1"/>
  <c r="A137" i="2" s="1"/>
  <c r="A174" i="2" s="1"/>
  <c r="A206" i="2" s="1"/>
  <c r="A243" i="2" s="1"/>
  <c r="A277" i="2" s="1"/>
  <c r="A313" i="2" s="1"/>
  <c r="A348" i="2" s="1"/>
  <c r="A383" i="2" s="1"/>
  <c r="A417" i="2" s="1"/>
  <c r="B73" i="2"/>
  <c r="B110" i="2" s="1"/>
  <c r="B144" i="2" s="1"/>
  <c r="B180" i="2" s="1"/>
  <c r="B213" i="2" s="1"/>
  <c r="B249" i="2" s="1"/>
  <c r="B283" i="2" s="1"/>
  <c r="B319" i="2" s="1"/>
  <c r="B353" i="2" s="1"/>
  <c r="B389" i="2" s="1"/>
  <c r="B422" i="2" s="1"/>
  <c r="B457" i="2" s="1"/>
  <c r="E152" i="9"/>
  <c r="E49" i="6"/>
  <c r="G30" i="6"/>
  <c r="E153" i="9"/>
  <c r="E29" i="10"/>
  <c r="F29" i="10" s="1"/>
  <c r="D217" i="10" s="1"/>
  <c r="E217" i="10" s="1"/>
  <c r="E33" i="10"/>
  <c r="F33" i="10" s="1"/>
  <c r="D221" i="10" s="1"/>
  <c r="E221" i="10" s="1"/>
  <c r="C592" i="10"/>
  <c r="A104" i="2"/>
  <c r="A138" i="2" s="1"/>
  <c r="A175" i="2" s="1"/>
  <c r="A207" i="2" s="1"/>
  <c r="A244" i="2" s="1"/>
  <c r="A278" i="2" s="1"/>
  <c r="A314" i="2" s="1"/>
  <c r="A349" i="2" s="1"/>
  <c r="A384" i="2" s="1"/>
  <c r="A418" i="2" s="1"/>
  <c r="A452" i="2" s="1"/>
  <c r="A485" i="2" s="1"/>
  <c r="D622" i="1"/>
  <c r="F41" i="10" l="1"/>
  <c r="D229" i="10" s="1"/>
  <c r="E229" i="10" s="1"/>
  <c r="F230" i="10" s="1"/>
  <c r="D429" i="10" s="1"/>
  <c r="E429" i="10" s="1"/>
  <c r="J303" i="1"/>
  <c r="J305" i="1" s="1"/>
  <c r="D67" i="10"/>
  <c r="E224" i="10"/>
  <c r="F224" i="10" s="1"/>
  <c r="D423" i="10" s="1"/>
  <c r="E423" i="10" s="1"/>
  <c r="E226" i="10"/>
  <c r="F226" i="10" s="1"/>
  <c r="D425" i="10" s="1"/>
  <c r="E425" i="10" s="1"/>
  <c r="E246" i="10"/>
  <c r="F246" i="10" s="1"/>
  <c r="D445" i="10" s="1"/>
  <c r="E445" i="10" s="1"/>
  <c r="E242" i="10"/>
  <c r="F242" i="10" s="1"/>
  <c r="D441" i="10" s="1"/>
  <c r="E441" i="10" s="1"/>
  <c r="E232" i="10"/>
  <c r="F232" i="10" s="1"/>
  <c r="D431" i="10" s="1"/>
  <c r="E431" i="10" s="1"/>
  <c r="E228" i="10"/>
  <c r="F228" i="10" s="1"/>
  <c r="D427" i="10" s="1"/>
  <c r="E427" i="10" s="1"/>
  <c r="E240" i="10"/>
  <c r="F240" i="10" s="1"/>
  <c r="D439" i="10" s="1"/>
  <c r="E439" i="10" s="1"/>
  <c r="E234" i="10"/>
  <c r="F234" i="10" s="1"/>
  <c r="D433" i="10" s="1"/>
  <c r="E433" i="10" s="1"/>
  <c r="E248" i="10"/>
  <c r="F248" i="10" s="1"/>
  <c r="D447" i="10" s="1"/>
  <c r="E447" i="10" s="1"/>
  <c r="E218" i="10"/>
  <c r="F218" i="10" s="1"/>
  <c r="D417" i="10" s="1"/>
  <c r="E417" i="10" s="1"/>
  <c r="L546" i="1"/>
  <c r="L474" i="1"/>
  <c r="H46" i="1"/>
  <c r="E55" i="10"/>
  <c r="F55" i="10" s="1"/>
  <c r="D243" i="10" s="1"/>
  <c r="E243" i="10" s="1"/>
  <c r="B46" i="6"/>
  <c r="D7" i="9"/>
  <c r="B122" i="9" s="1"/>
  <c r="B72" i="2"/>
  <c r="B109" i="2" s="1"/>
  <c r="B143" i="2" s="1"/>
  <c r="B179" i="2" s="1"/>
  <c r="B212" i="2" s="1"/>
  <c r="B248" i="2"/>
  <c r="B282" i="2" s="1"/>
  <c r="B318" i="2" s="1"/>
  <c r="B352" i="2" s="1"/>
  <c r="B388" i="2" s="1"/>
  <c r="E236" i="10"/>
  <c r="F236" i="10" s="1"/>
  <c r="D435" i="10" s="1"/>
  <c r="E435" i="10" s="1"/>
  <c r="E238" i="10"/>
  <c r="F238" i="10" s="1"/>
  <c r="D437" i="10" s="1"/>
  <c r="E437" i="10" s="1"/>
  <c r="E27" i="10"/>
  <c r="E67" i="10" s="1"/>
  <c r="G114" i="2" s="1"/>
  <c r="F27" i="10"/>
  <c r="H759" i="1"/>
  <c r="C165" i="2"/>
  <c r="E222" i="10"/>
  <c r="F222" i="10" s="1"/>
  <c r="D421" i="10" s="1"/>
  <c r="E421" i="10" s="1"/>
  <c r="E115" i="2"/>
  <c r="D656" i="1"/>
  <c r="L411" i="1"/>
  <c r="L350" i="1"/>
  <c r="H35" i="1"/>
  <c r="E220" i="10"/>
  <c r="F220" i="10" s="1"/>
  <c r="D419" i="10" s="1"/>
  <c r="E419" i="10" s="1"/>
  <c r="E230" i="10"/>
  <c r="C109" i="2"/>
  <c r="C143" i="2" s="1"/>
  <c r="C179" i="2" s="1"/>
  <c r="C212" i="2" s="1"/>
  <c r="C248" i="2" s="1"/>
  <c r="C282" i="2" s="1"/>
  <c r="C318" i="2" s="1"/>
  <c r="C352" i="2" s="1"/>
  <c r="C388" i="2" s="1"/>
  <c r="B2" i="2"/>
  <c r="D29" i="2" s="1"/>
  <c r="D61" i="2" s="1"/>
  <c r="D102" i="2" s="1"/>
  <c r="D137" i="2" s="1"/>
  <c r="D173" i="2" s="1"/>
  <c r="D206" i="2" s="1"/>
  <c r="D242" i="2" s="1"/>
  <c r="D276" i="2" s="1"/>
  <c r="D312" i="2" s="1"/>
  <c r="D346" i="2" s="1"/>
  <c r="D382" i="2" s="1"/>
  <c r="D416" i="2" s="1"/>
  <c r="D451" i="2" s="1"/>
  <c r="D484" i="2" s="1"/>
  <c r="B37" i="2"/>
  <c r="D691" i="1"/>
  <c r="F691" i="1" s="1"/>
  <c r="H691" i="1" s="1"/>
  <c r="J691" i="1" s="1"/>
  <c r="L691" i="1" s="1"/>
  <c r="D751" i="1"/>
  <c r="D812" i="1" s="1"/>
  <c r="F622" i="1"/>
  <c r="F82" i="2" l="1"/>
  <c r="D93" i="6" s="1"/>
  <c r="L413" i="1"/>
  <c r="L558" i="1" s="1"/>
  <c r="D773" i="1" s="1"/>
  <c r="J307" i="1"/>
  <c r="O49" i="1" s="1"/>
  <c r="L401" i="1" s="1"/>
  <c r="E422" i="10"/>
  <c r="F422" i="10" s="1"/>
  <c r="D606" i="10" s="1"/>
  <c r="E606" i="10" s="1"/>
  <c r="E436" i="10"/>
  <c r="F436" i="10" s="1"/>
  <c r="D620" i="10" s="1"/>
  <c r="E620" i="10" s="1"/>
  <c r="E440" i="10"/>
  <c r="F440" i="10" s="1"/>
  <c r="D624" i="10" s="1"/>
  <c r="E624" i="10" s="1"/>
  <c r="E446" i="10"/>
  <c r="F446" i="10" s="1"/>
  <c r="D630" i="10" s="1"/>
  <c r="E630" i="10" s="1"/>
  <c r="E428" i="10"/>
  <c r="F428" i="10" s="1"/>
  <c r="D612" i="10" s="1"/>
  <c r="E612" i="10" s="1"/>
  <c r="E442" i="10"/>
  <c r="F442" i="10" s="1"/>
  <c r="D626" i="10" s="1"/>
  <c r="E626" i="10" s="1"/>
  <c r="E448" i="10"/>
  <c r="F448" i="10" s="1"/>
  <c r="D632" i="10" s="1"/>
  <c r="E632" i="10" s="1"/>
  <c r="E426" i="10"/>
  <c r="F426" i="10" s="1"/>
  <c r="D610" i="10" s="1"/>
  <c r="E610" i="10" s="1"/>
  <c r="E434" i="10"/>
  <c r="F434" i="10"/>
  <c r="D618" i="10" s="1"/>
  <c r="E618" i="10" s="1"/>
  <c r="J361" i="1"/>
  <c r="B16" i="10"/>
  <c r="B421" i="2"/>
  <c r="B456" i="2" s="1"/>
  <c r="F753" i="1"/>
  <c r="D753" i="1"/>
  <c r="C234" i="2"/>
  <c r="J759" i="1"/>
  <c r="E420" i="10"/>
  <c r="F420" i="10" s="1"/>
  <c r="D604" i="10" s="1"/>
  <c r="E604" i="10" s="1"/>
  <c r="D215" i="10"/>
  <c r="F67" i="10"/>
  <c r="C421" i="2"/>
  <c r="C456" i="2" s="1"/>
  <c r="C16" i="10"/>
  <c r="E430" i="10"/>
  <c r="F430" i="10" s="1"/>
  <c r="D614" i="10" s="1"/>
  <c r="E614" i="10" s="1"/>
  <c r="L586" i="1"/>
  <c r="D628" i="1" s="1"/>
  <c r="D647" i="1" s="1"/>
  <c r="D788" i="1"/>
  <c r="C93" i="2" s="1"/>
  <c r="J490" i="1"/>
  <c r="E418" i="10"/>
  <c r="F418" i="10"/>
  <c r="D602" i="10" s="1"/>
  <c r="E602" i="10" s="1"/>
  <c r="G123" i="2"/>
  <c r="E116" i="2"/>
  <c r="G120" i="2" s="1"/>
  <c r="H101" i="2"/>
  <c r="E438" i="10"/>
  <c r="F438" i="10" s="1"/>
  <c r="D622" i="10" s="1"/>
  <c r="E622" i="10" s="1"/>
  <c r="E244" i="10"/>
  <c r="F244" i="10" s="1"/>
  <c r="D443" i="10" s="1"/>
  <c r="E443" i="10" s="1"/>
  <c r="E432" i="10"/>
  <c r="F432" i="10" s="1"/>
  <c r="D616" i="10" s="1"/>
  <c r="E616" i="10" s="1"/>
  <c r="E424" i="10"/>
  <c r="F424" i="10" s="1"/>
  <c r="D608" i="10" s="1"/>
  <c r="E608" i="10" s="1"/>
  <c r="F751" i="1"/>
  <c r="F812" i="1" s="1"/>
  <c r="H622" i="1"/>
  <c r="J119" i="2" l="1"/>
  <c r="F124" i="2"/>
  <c r="O50" i="1"/>
  <c r="L403" i="1" s="1"/>
  <c r="L572" i="1" s="1"/>
  <c r="D761" i="1" s="1"/>
  <c r="G79" i="2"/>
  <c r="L415" i="1"/>
  <c r="L560" i="1" s="1"/>
  <c r="D775" i="1" s="1"/>
  <c r="O46" i="1"/>
  <c r="L395" i="1" s="1"/>
  <c r="L570" i="1" s="1"/>
  <c r="O47" i="1"/>
  <c r="L397" i="1" s="1"/>
  <c r="O51" i="1"/>
  <c r="L405" i="1" s="1"/>
  <c r="L574" i="1" s="1"/>
  <c r="D765" i="1" s="1"/>
  <c r="F765" i="1" s="1"/>
  <c r="R32" i="1"/>
  <c r="P33" i="1" s="1"/>
  <c r="L417" i="1" s="1"/>
  <c r="L387" i="1"/>
  <c r="O52" i="1"/>
  <c r="L407" i="1" s="1"/>
  <c r="L576" i="1" s="1"/>
  <c r="D771" i="1" s="1"/>
  <c r="O48" i="1"/>
  <c r="L399" i="1" s="1"/>
  <c r="L578" i="1" s="1"/>
  <c r="D767" i="1" s="1"/>
  <c r="C90" i="2" s="1"/>
  <c r="F308" i="1"/>
  <c r="L352" i="1" s="1"/>
  <c r="C132" i="2"/>
  <c r="E617" i="10"/>
  <c r="F617" i="10" s="1"/>
  <c r="D846" i="10" s="1"/>
  <c r="E846" i="10" s="1"/>
  <c r="E615" i="10"/>
  <c r="F615" i="10" s="1"/>
  <c r="D844" i="10" s="1"/>
  <c r="E844" i="10" s="1"/>
  <c r="E444" i="10"/>
  <c r="F444" i="10" s="1"/>
  <c r="D628" i="10" s="1"/>
  <c r="E628" i="10" s="1"/>
  <c r="E625" i="10"/>
  <c r="F625" i="10" s="1"/>
  <c r="D854" i="10" s="1"/>
  <c r="E854" i="10" s="1"/>
  <c r="E623" i="10"/>
  <c r="F623" i="10" s="1"/>
  <c r="D852" i="10" s="1"/>
  <c r="E852" i="10" s="1"/>
  <c r="E631" i="10"/>
  <c r="F631" i="10" s="1"/>
  <c r="D860" i="10" s="1"/>
  <c r="E860" i="10" s="1"/>
  <c r="E633" i="10"/>
  <c r="F633" i="10" s="1"/>
  <c r="D862" i="10" s="1"/>
  <c r="E862" i="10" s="1"/>
  <c r="E611" i="10"/>
  <c r="F611" i="10" s="1"/>
  <c r="D840" i="10" s="1"/>
  <c r="E840" i="10" s="1"/>
  <c r="E605" i="10"/>
  <c r="F605" i="10" s="1"/>
  <c r="D834" i="10" s="1"/>
  <c r="E834" i="10" s="1"/>
  <c r="F767" i="1"/>
  <c r="F773" i="1"/>
  <c r="C95" i="2"/>
  <c r="L759" i="1"/>
  <c r="C304" i="2"/>
  <c r="F84" i="6"/>
  <c r="D101" i="6"/>
  <c r="H361" i="1"/>
  <c r="F361" i="1" s="1"/>
  <c r="N63" i="1"/>
  <c r="P24" i="1"/>
  <c r="P25" i="1" s="1"/>
  <c r="C96" i="2"/>
  <c r="F775" i="1"/>
  <c r="E609" i="10"/>
  <c r="F609" i="10" s="1"/>
  <c r="D838" i="10" s="1"/>
  <c r="E838" i="10" s="1"/>
  <c r="C131" i="2"/>
  <c r="L554" i="1"/>
  <c r="D769" i="1" s="1"/>
  <c r="E603" i="10"/>
  <c r="F603" i="10" s="1"/>
  <c r="D832" i="10" s="1"/>
  <c r="E832" i="10" s="1"/>
  <c r="F761" i="1"/>
  <c r="C86" i="2"/>
  <c r="C205" i="10"/>
  <c r="C591" i="10"/>
  <c r="E619" i="10"/>
  <c r="F619" i="10" s="1"/>
  <c r="D848" i="10" s="1"/>
  <c r="E848" i="10" s="1"/>
  <c r="F116" i="2"/>
  <c r="D786" i="1"/>
  <c r="F78" i="2"/>
  <c r="C130" i="2"/>
  <c r="L556" i="1"/>
  <c r="D779" i="1" s="1"/>
  <c r="C89" i="2"/>
  <c r="H753" i="1"/>
  <c r="C149" i="2"/>
  <c r="F627" i="10"/>
  <c r="E627" i="10"/>
  <c r="E621" i="10"/>
  <c r="F621" i="10" s="1"/>
  <c r="D850" i="10" s="1"/>
  <c r="E850" i="10" s="1"/>
  <c r="E215" i="10"/>
  <c r="D310" i="10"/>
  <c r="L584" i="1"/>
  <c r="D777" i="1" s="1"/>
  <c r="C133" i="2"/>
  <c r="L550" i="1"/>
  <c r="C92" i="2"/>
  <c r="F771" i="1"/>
  <c r="B591" i="10"/>
  <c r="B205" i="10"/>
  <c r="E613" i="10"/>
  <c r="F613" i="10" s="1"/>
  <c r="D842" i="10" s="1"/>
  <c r="E842" i="10" s="1"/>
  <c r="E607" i="10"/>
  <c r="F607" i="10" s="1"/>
  <c r="D836" i="10" s="1"/>
  <c r="E836" i="10" s="1"/>
  <c r="H751" i="1"/>
  <c r="H812" i="1" s="1"/>
  <c r="J622" i="1"/>
  <c r="H36" i="1" l="1"/>
  <c r="E835" i="10"/>
  <c r="F835" i="10" s="1"/>
  <c r="E629" i="10"/>
  <c r="F629" i="10" s="1"/>
  <c r="D858" i="10" s="1"/>
  <c r="E858" i="10" s="1"/>
  <c r="E845" i="10"/>
  <c r="F845" i="10" s="1"/>
  <c r="E833" i="10"/>
  <c r="F833" i="10" s="1"/>
  <c r="E861" i="10"/>
  <c r="F861" i="10" s="1"/>
  <c r="E843" i="10"/>
  <c r="F843" i="10" s="1"/>
  <c r="E853" i="10"/>
  <c r="F853" i="10" s="1"/>
  <c r="E849" i="10"/>
  <c r="F849" i="10" s="1"/>
  <c r="E101" i="6"/>
  <c r="C160" i="2"/>
  <c r="H765" i="1"/>
  <c r="E185" i="2"/>
  <c r="D658" i="1"/>
  <c r="J363" i="1"/>
  <c r="L354" i="1"/>
  <c r="E837" i="10"/>
  <c r="F837" i="10" s="1"/>
  <c r="E841" i="10"/>
  <c r="F841" i="10" s="1"/>
  <c r="F855" i="10"/>
  <c r="E855" i="10"/>
  <c r="L564" i="1"/>
  <c r="F757" i="1"/>
  <c r="D757" i="1"/>
  <c r="F769" i="1"/>
  <c r="C88" i="2"/>
  <c r="C375" i="2"/>
  <c r="N759" i="1"/>
  <c r="C85" i="2"/>
  <c r="F779" i="1"/>
  <c r="O63" i="1"/>
  <c r="P63" i="1" s="1"/>
  <c r="E863" i="10"/>
  <c r="F863" i="10" s="1"/>
  <c r="H771" i="1"/>
  <c r="C163" i="2"/>
  <c r="C157" i="2"/>
  <c r="H761" i="1"/>
  <c r="E856" i="10"/>
  <c r="D856" i="10"/>
  <c r="C97" i="2"/>
  <c r="F777" i="1"/>
  <c r="C166" i="2"/>
  <c r="H773" i="1"/>
  <c r="C202" i="2"/>
  <c r="F153" i="2"/>
  <c r="J191" i="2" s="1"/>
  <c r="B405" i="10"/>
  <c r="B822" i="10"/>
  <c r="C405" i="10"/>
  <c r="C822" i="10"/>
  <c r="E839" i="10"/>
  <c r="F839" i="10" s="1"/>
  <c r="E216" i="10"/>
  <c r="E310" i="10" s="1"/>
  <c r="E112" i="6"/>
  <c r="F83" i="2"/>
  <c r="C128" i="2"/>
  <c r="J110" i="2"/>
  <c r="H775" i="1"/>
  <c r="C167" i="2"/>
  <c r="C84" i="6"/>
  <c r="C86" i="6" s="1"/>
  <c r="G101" i="6"/>
  <c r="D816" i="1"/>
  <c r="D818" i="1"/>
  <c r="H365" i="1"/>
  <c r="H40" i="1"/>
  <c r="C161" i="2"/>
  <c r="H767" i="1"/>
  <c r="E847" i="10"/>
  <c r="F847" i="10" s="1"/>
  <c r="E851" i="10"/>
  <c r="F851" i="10" s="1"/>
  <c r="J753" i="1"/>
  <c r="F786" i="1"/>
  <c r="C87" i="2"/>
  <c r="L622" i="1"/>
  <c r="J751" i="1"/>
  <c r="J812" i="1" s="1"/>
  <c r="E859" i="10" l="1"/>
  <c r="F859" i="10" s="1"/>
  <c r="C79" i="2"/>
  <c r="C82" i="2" s="1"/>
  <c r="F84" i="2" s="1"/>
  <c r="F100" i="2" s="1"/>
  <c r="D781" i="1"/>
  <c r="C158" i="2"/>
  <c r="H786" i="1"/>
  <c r="E857" i="10"/>
  <c r="F857" i="10" s="1"/>
  <c r="N64" i="1"/>
  <c r="J775" i="1"/>
  <c r="C236" i="2"/>
  <c r="C226" i="2"/>
  <c r="J761" i="1"/>
  <c r="C200" i="2"/>
  <c r="C156" i="2"/>
  <c r="H779" i="1"/>
  <c r="L594" i="1"/>
  <c r="F83" i="6"/>
  <c r="F86" i="6" s="1"/>
  <c r="N363" i="1"/>
  <c r="F363" i="1"/>
  <c r="J365" i="1"/>
  <c r="H37" i="1" s="1"/>
  <c r="J765" i="1"/>
  <c r="C229" i="2"/>
  <c r="F216" i="10"/>
  <c r="C230" i="2"/>
  <c r="J767" i="1"/>
  <c r="G151" i="2"/>
  <c r="F149" i="2" s="1"/>
  <c r="F193" i="2"/>
  <c r="H757" i="1"/>
  <c r="C150" i="2"/>
  <c r="F781" i="1"/>
  <c r="F658" i="1"/>
  <c r="C235" i="2"/>
  <c r="J773" i="1"/>
  <c r="C272" i="2"/>
  <c r="C444" i="2"/>
  <c r="P759" i="1"/>
  <c r="D651" i="1"/>
  <c r="L409" i="1"/>
  <c r="D630" i="1"/>
  <c r="F630" i="1" s="1"/>
  <c r="H630" i="1" s="1"/>
  <c r="J630" i="1" s="1"/>
  <c r="L630" i="1" s="1"/>
  <c r="N630" i="1" s="1"/>
  <c r="P630" i="1" s="1"/>
  <c r="J771" i="1"/>
  <c r="C232" i="2"/>
  <c r="G190" i="2"/>
  <c r="E186" i="2"/>
  <c r="G187" i="2" s="1"/>
  <c r="C164" i="2" s="1"/>
  <c r="L753" i="1"/>
  <c r="F93" i="6"/>
  <c r="N126" i="2"/>
  <c r="J122" i="2"/>
  <c r="N124" i="2" s="1"/>
  <c r="F818" i="1"/>
  <c r="D820" i="1"/>
  <c r="D822" i="1"/>
  <c r="F816" i="1"/>
  <c r="H816" i="1" s="1"/>
  <c r="J816" i="1" s="1"/>
  <c r="L816" i="1" s="1"/>
  <c r="N816" i="1" s="1"/>
  <c r="P816" i="1" s="1"/>
  <c r="C203" i="2"/>
  <c r="H777" i="1"/>
  <c r="C168" i="2"/>
  <c r="C201" i="2"/>
  <c r="H769" i="1"/>
  <c r="C159" i="2"/>
  <c r="L751" i="1"/>
  <c r="L812" i="1" s="1"/>
  <c r="N622" i="1"/>
  <c r="C273" i="2" l="1"/>
  <c r="J777" i="1"/>
  <c r="C237" i="2"/>
  <c r="L773" i="1"/>
  <c r="C341" i="2"/>
  <c r="C305" i="2"/>
  <c r="J189" i="2"/>
  <c r="J190" i="2" s="1"/>
  <c r="F711" i="1" s="1"/>
  <c r="C299" i="2"/>
  <c r="L765" i="1"/>
  <c r="C302" i="2"/>
  <c r="L771" i="1"/>
  <c r="J757" i="1"/>
  <c r="C219" i="2"/>
  <c r="H781" i="1"/>
  <c r="C227" i="2"/>
  <c r="J786" i="1"/>
  <c r="H658" i="1"/>
  <c r="C225" i="2"/>
  <c r="J779" i="1"/>
  <c r="C270" i="2"/>
  <c r="N753" i="1"/>
  <c r="C218" i="2"/>
  <c r="G93" i="6"/>
  <c r="F365" i="1"/>
  <c r="L761" i="1"/>
  <c r="C296" i="2"/>
  <c r="D626" i="1"/>
  <c r="L580" i="1"/>
  <c r="L588" i="1" s="1"/>
  <c r="L421" i="1"/>
  <c r="L476" i="1" s="1"/>
  <c r="L478" i="1" s="1"/>
  <c r="J480" i="1" s="1"/>
  <c r="G112" i="6"/>
  <c r="F154" i="2"/>
  <c r="C153" i="2" s="1"/>
  <c r="F155" i="2" s="1"/>
  <c r="F171" i="2" s="1"/>
  <c r="J182" i="2"/>
  <c r="C198" i="2"/>
  <c r="D660" i="1"/>
  <c r="D664" i="1" s="1"/>
  <c r="D790" i="1"/>
  <c r="C300" i="2"/>
  <c r="L767" i="1"/>
  <c r="C228" i="2"/>
  <c r="C271" i="2"/>
  <c r="J769" i="1"/>
  <c r="L775" i="1"/>
  <c r="C306" i="2"/>
  <c r="J117" i="2"/>
  <c r="J118" i="2" s="1"/>
  <c r="D711" i="1" s="1"/>
  <c r="C83" i="2"/>
  <c r="F820" i="1"/>
  <c r="F822" i="1"/>
  <c r="B121" i="2"/>
  <c r="C124" i="2" s="1"/>
  <c r="H818" i="1"/>
  <c r="F186" i="2"/>
  <c r="F310" i="10"/>
  <c r="D415" i="10"/>
  <c r="O64" i="1"/>
  <c r="P64" i="1" s="1"/>
  <c r="F628" i="1" s="1"/>
  <c r="F647" i="1" s="1"/>
  <c r="F788" i="1" s="1"/>
  <c r="N751" i="1"/>
  <c r="N812" i="1" s="1"/>
  <c r="P622" i="1"/>
  <c r="P751" i="1" s="1"/>
  <c r="P812" i="1" s="1"/>
  <c r="N65" i="1" l="1"/>
  <c r="O65" i="1"/>
  <c r="P65" i="1" s="1"/>
  <c r="H628" i="1" s="1"/>
  <c r="H647" i="1" s="1"/>
  <c r="H788" i="1" s="1"/>
  <c r="B124" i="2"/>
  <c r="J129" i="2"/>
  <c r="F660" i="1"/>
  <c r="F790" i="1"/>
  <c r="F792" i="1" s="1"/>
  <c r="F794" i="1" s="1"/>
  <c r="F796" i="1" s="1"/>
  <c r="F222" i="2"/>
  <c r="J658" i="1"/>
  <c r="C373" i="2"/>
  <c r="N771" i="1"/>
  <c r="J482" i="1"/>
  <c r="J484" i="1" s="1"/>
  <c r="J488" i="1" s="1"/>
  <c r="J492" i="1" s="1"/>
  <c r="H47" i="1" s="1"/>
  <c r="D459" i="10"/>
  <c r="E415" i="10"/>
  <c r="L598" i="1"/>
  <c r="L596" i="1"/>
  <c r="H48" i="1" s="1"/>
  <c r="L590" i="1"/>
  <c r="L592" i="1" s="1"/>
  <c r="F427" i="2"/>
  <c r="P753" i="1"/>
  <c r="C297" i="2"/>
  <c r="L786" i="1"/>
  <c r="C371" i="2"/>
  <c r="N767" i="1"/>
  <c r="C91" i="2"/>
  <c r="D792" i="1"/>
  <c r="D794" i="1" s="1"/>
  <c r="D796" i="1" s="1"/>
  <c r="C376" i="2"/>
  <c r="C411" i="2"/>
  <c r="N773" i="1"/>
  <c r="E254" i="2"/>
  <c r="C377" i="2"/>
  <c r="N775" i="1"/>
  <c r="H820" i="1"/>
  <c r="B192" i="2"/>
  <c r="C195" i="2" s="1"/>
  <c r="H822" i="1"/>
  <c r="J818" i="1"/>
  <c r="C340" i="2"/>
  <c r="C298" i="2"/>
  <c r="L769" i="1"/>
  <c r="J194" i="2"/>
  <c r="N196" i="2" s="1"/>
  <c r="N198" i="2"/>
  <c r="C367" i="2"/>
  <c r="N761" i="1"/>
  <c r="C370" i="2"/>
  <c r="N765" i="1"/>
  <c r="L777" i="1"/>
  <c r="C342" i="2"/>
  <c r="C307" i="2"/>
  <c r="H39" i="1"/>
  <c r="H42" i="1" s="1"/>
  <c r="B114" i="2"/>
  <c r="D649" i="1"/>
  <c r="C339" i="2"/>
  <c r="L779" i="1"/>
  <c r="C295" i="2"/>
  <c r="C289" i="2"/>
  <c r="L757" i="1"/>
  <c r="J781" i="1"/>
  <c r="C154" i="2"/>
  <c r="N66" i="1" l="1"/>
  <c r="O66" i="1" s="1"/>
  <c r="G166" i="2"/>
  <c r="F644" i="1"/>
  <c r="C445" i="2"/>
  <c r="P773" i="1"/>
  <c r="G223" i="2"/>
  <c r="F218" i="2" s="1"/>
  <c r="F262" i="2"/>
  <c r="H790" i="1"/>
  <c r="H792" i="1" s="1"/>
  <c r="H794" i="1" s="1"/>
  <c r="H796" i="1" s="1"/>
  <c r="H660" i="1"/>
  <c r="G91" i="2"/>
  <c r="D624" i="1"/>
  <c r="D632" i="1" s="1"/>
  <c r="D644" i="1"/>
  <c r="D653" i="1" s="1"/>
  <c r="D666" i="1" s="1"/>
  <c r="J259" i="2"/>
  <c r="B195" i="2"/>
  <c r="J201" i="2"/>
  <c r="C446" i="2"/>
  <c r="P775" i="1"/>
  <c r="C98" i="2"/>
  <c r="C369" i="2"/>
  <c r="C410" i="2"/>
  <c r="N769" i="1"/>
  <c r="P769" i="1" s="1"/>
  <c r="C440" i="2"/>
  <c r="P767" i="1"/>
  <c r="F626" i="1"/>
  <c r="C162" i="2"/>
  <c r="F664" i="1"/>
  <c r="C409" i="2"/>
  <c r="C366" i="2"/>
  <c r="N779" i="1"/>
  <c r="C475" i="2"/>
  <c r="C442" i="2"/>
  <c r="P771" i="1"/>
  <c r="C412" i="2"/>
  <c r="C378" i="2"/>
  <c r="N777" i="1"/>
  <c r="C438" i="2"/>
  <c r="C439" i="2"/>
  <c r="P765" i="1"/>
  <c r="E255" i="2"/>
  <c r="G258" i="2" s="1"/>
  <c r="C233" i="2" s="1"/>
  <c r="G262" i="2"/>
  <c r="L658" i="1"/>
  <c r="C359" i="2"/>
  <c r="L781" i="1"/>
  <c r="N757" i="1"/>
  <c r="C368" i="2"/>
  <c r="N786" i="1"/>
  <c r="J822" i="1"/>
  <c r="B261" i="2"/>
  <c r="C264" i="2" s="1"/>
  <c r="L818" i="1"/>
  <c r="J820" i="1"/>
  <c r="E416" i="10"/>
  <c r="E459" i="10" s="1"/>
  <c r="C436" i="2"/>
  <c r="P761" i="1"/>
  <c r="J261" i="2"/>
  <c r="F255" i="2" l="1"/>
  <c r="E324" i="2" s="1"/>
  <c r="P66" i="1"/>
  <c r="J628" i="1" s="1"/>
  <c r="J647" i="1" s="1"/>
  <c r="J788" i="1" s="1"/>
  <c r="N67" i="1"/>
  <c r="F416" i="10"/>
  <c r="F459" i="10" s="1"/>
  <c r="G94" i="2"/>
  <c r="G233" i="2"/>
  <c r="H644" i="1"/>
  <c r="C435" i="2"/>
  <c r="P779" i="1"/>
  <c r="C437" i="2"/>
  <c r="P786" i="1"/>
  <c r="F624" i="1"/>
  <c r="F632" i="1" s="1"/>
  <c r="F653" i="1"/>
  <c r="F666" i="1" s="1"/>
  <c r="O67" i="1"/>
  <c r="P67" i="1" s="1"/>
  <c r="L628" i="1" s="1"/>
  <c r="L647" i="1" s="1"/>
  <c r="L788" i="1" s="1"/>
  <c r="E113" i="6"/>
  <c r="B115" i="2"/>
  <c r="B116" i="2" s="1"/>
  <c r="C118" i="2" s="1"/>
  <c r="J111" i="2"/>
  <c r="J112" i="2" s="1"/>
  <c r="D705" i="1" s="1"/>
  <c r="F718" i="1"/>
  <c r="F126" i="2"/>
  <c r="N658" i="1"/>
  <c r="C447" i="2"/>
  <c r="P777" i="1"/>
  <c r="J260" i="2"/>
  <c r="H711" i="1" s="1"/>
  <c r="C428" i="2"/>
  <c r="N781" i="1"/>
  <c r="P757" i="1"/>
  <c r="C169" i="2"/>
  <c r="G168" i="2" s="1"/>
  <c r="C100" i="2"/>
  <c r="H49" i="1"/>
  <c r="C288" i="2"/>
  <c r="B331" i="2"/>
  <c r="C334" i="2" s="1"/>
  <c r="N818" i="1"/>
  <c r="L820" i="1"/>
  <c r="L822" i="1"/>
  <c r="H626" i="1"/>
  <c r="C231" i="2" s="1"/>
  <c r="H664" i="1"/>
  <c r="J252" i="2"/>
  <c r="C267" i="2"/>
  <c r="J271" i="2" s="1"/>
  <c r="F223" i="2"/>
  <c r="C222" i="2" s="1"/>
  <c r="B264" i="2"/>
  <c r="J790" i="1"/>
  <c r="C301" i="2" s="1"/>
  <c r="J660" i="1"/>
  <c r="N68" i="1" l="1"/>
  <c r="C171" i="2"/>
  <c r="D600" i="10"/>
  <c r="E600" i="10" s="1"/>
  <c r="F224" i="2"/>
  <c r="F240" i="2" s="1"/>
  <c r="C238" i="2" s="1"/>
  <c r="G236" i="2" s="1"/>
  <c r="C223" i="2"/>
  <c r="F114" i="6"/>
  <c r="B118" i="2"/>
  <c r="C135" i="2"/>
  <c r="B184" i="2"/>
  <c r="N268" i="2"/>
  <c r="J264" i="2"/>
  <c r="N266" i="2" s="1"/>
  <c r="F292" i="2"/>
  <c r="J337" i="2" s="1"/>
  <c r="J335" i="2"/>
  <c r="O68" i="1"/>
  <c r="P68" i="1" s="1"/>
  <c r="N628" i="1" s="1"/>
  <c r="N647" i="1" s="1"/>
  <c r="N788" i="1" s="1"/>
  <c r="J626" i="1"/>
  <c r="J664" i="1"/>
  <c r="J792" i="1"/>
  <c r="J794" i="1" s="1"/>
  <c r="J796" i="1" s="1"/>
  <c r="P658" i="1"/>
  <c r="J130" i="2"/>
  <c r="J128" i="2" s="1"/>
  <c r="D701" i="1" s="1"/>
  <c r="G336" i="2"/>
  <c r="E325" i="2"/>
  <c r="G333" i="2" s="1"/>
  <c r="C303" i="2" s="1"/>
  <c r="L660" i="1"/>
  <c r="L790" i="1"/>
  <c r="L792" i="1" s="1"/>
  <c r="L794" i="1" s="1"/>
  <c r="L796" i="1" s="1"/>
  <c r="F720" i="1"/>
  <c r="F195" i="2"/>
  <c r="B334" i="2"/>
  <c r="P818" i="1"/>
  <c r="N820" i="1"/>
  <c r="N822" i="1"/>
  <c r="G113" i="6"/>
  <c r="B185" i="2"/>
  <c r="J183" i="2"/>
  <c r="J184" i="2" s="1"/>
  <c r="F705" i="1" s="1"/>
  <c r="H653" i="1"/>
  <c r="H666" i="1" s="1"/>
  <c r="H624" i="1"/>
  <c r="H632" i="1" s="1"/>
  <c r="P781" i="1"/>
  <c r="D645" i="10" l="1"/>
  <c r="F325" i="2"/>
  <c r="E394" i="2" s="1"/>
  <c r="C240" i="2"/>
  <c r="J336" i="2"/>
  <c r="J711" i="1" s="1"/>
  <c r="G381" i="2"/>
  <c r="L644" i="1"/>
  <c r="E601" i="10"/>
  <c r="E645" i="10" s="1"/>
  <c r="N660" i="1"/>
  <c r="N790" i="1"/>
  <c r="C441" i="2" s="1"/>
  <c r="B186" i="2"/>
  <c r="C188" i="2" s="1"/>
  <c r="G295" i="2"/>
  <c r="F288" i="2" s="1"/>
  <c r="F334" i="2"/>
  <c r="F125" i="2"/>
  <c r="J202" i="2"/>
  <c r="J200" i="2" s="1"/>
  <c r="F701" i="1" s="1"/>
  <c r="C372" i="2"/>
  <c r="F500" i="2"/>
  <c r="P820" i="1"/>
  <c r="P822" i="1"/>
  <c r="L626" i="1"/>
  <c r="L664" i="1"/>
  <c r="N69" i="1"/>
  <c r="O69" i="1" s="1"/>
  <c r="P69" i="1" s="1"/>
  <c r="P628" i="1" s="1"/>
  <c r="P647" i="1" s="1"/>
  <c r="P788" i="1" s="1"/>
  <c r="C443" i="2"/>
  <c r="F263" i="2"/>
  <c r="F722" i="1"/>
  <c r="J644" i="1"/>
  <c r="G305" i="2"/>
  <c r="B254" i="2"/>
  <c r="J253" i="2"/>
  <c r="J254" i="2" s="1"/>
  <c r="H705" i="1" s="1"/>
  <c r="F601" i="10" l="1"/>
  <c r="F645" i="10" s="1"/>
  <c r="N792" i="1"/>
  <c r="N794" i="1" s="1"/>
  <c r="N796" i="1" s="1"/>
  <c r="G447" i="2" s="1"/>
  <c r="P660" i="1"/>
  <c r="P790" i="1"/>
  <c r="P792" i="1" s="1"/>
  <c r="P794" i="1" s="1"/>
  <c r="P796" i="1" s="1"/>
  <c r="P644" i="1" s="1"/>
  <c r="F505" i="2"/>
  <c r="C504" i="2" s="1"/>
  <c r="C548" i="2"/>
  <c r="E395" i="2"/>
  <c r="G401" i="2" s="1"/>
  <c r="C374" i="2" s="1"/>
  <c r="G404" i="2"/>
  <c r="J653" i="1"/>
  <c r="J666" i="1" s="1"/>
  <c r="J624" i="1"/>
  <c r="J632" i="1" s="1"/>
  <c r="C358" i="2"/>
  <c r="C337" i="2"/>
  <c r="F293" i="2"/>
  <c r="C292" i="2" s="1"/>
  <c r="J328" i="2"/>
  <c r="L653" i="1"/>
  <c r="L666" i="1" s="1"/>
  <c r="L624" i="1"/>
  <c r="L632" i="1" s="1"/>
  <c r="H114" i="6"/>
  <c r="B253" i="2"/>
  <c r="B255" i="2" s="1"/>
  <c r="C257" i="2" s="1"/>
  <c r="B188" i="2"/>
  <c r="C204" i="2"/>
  <c r="J272" i="2"/>
  <c r="J270" i="2" s="1"/>
  <c r="H701" i="1" s="1"/>
  <c r="E93" i="6"/>
  <c r="J121" i="2"/>
  <c r="F135" i="2"/>
  <c r="J124" i="2"/>
  <c r="N626" i="1"/>
  <c r="N664" i="1"/>
  <c r="N644" i="1"/>
  <c r="D830" i="10" l="1"/>
  <c r="D930" i="10" s="1"/>
  <c r="D634" i="1"/>
  <c r="P653" i="1"/>
  <c r="P624" i="1"/>
  <c r="N123" i="2"/>
  <c r="J123" i="2"/>
  <c r="D697" i="1" s="1"/>
  <c r="P626" i="1"/>
  <c r="P664" i="1"/>
  <c r="F194" i="2"/>
  <c r="N344" i="2"/>
  <c r="J340" i="2"/>
  <c r="N342" i="2" s="1"/>
  <c r="J347" i="2"/>
  <c r="J135" i="2"/>
  <c r="J133" i="2" s="1"/>
  <c r="D713" i="1" s="1"/>
  <c r="J120" i="2"/>
  <c r="D695" i="1"/>
  <c r="F395" i="2"/>
  <c r="B323" i="2"/>
  <c r="C275" i="2"/>
  <c r="F362" i="2"/>
  <c r="J404" i="2" s="1"/>
  <c r="N653" i="1"/>
  <c r="N666" i="1" s="1"/>
  <c r="N624" i="1"/>
  <c r="N632" i="1" s="1"/>
  <c r="C505" i="2"/>
  <c r="F507" i="2"/>
  <c r="F522" i="2" s="1"/>
  <c r="C521" i="2" s="1"/>
  <c r="F405" i="2"/>
  <c r="F726" i="1"/>
  <c r="F337" i="2"/>
  <c r="F724" i="1"/>
  <c r="F294" i="2"/>
  <c r="F310" i="2" s="1"/>
  <c r="C308" i="2" s="1"/>
  <c r="C293" i="2"/>
  <c r="N127" i="2"/>
  <c r="J126" i="2" s="1"/>
  <c r="D699" i="1" s="1"/>
  <c r="J115" i="2"/>
  <c r="D709" i="1" s="1"/>
  <c r="G135" i="2"/>
  <c r="E830" i="10" l="1"/>
  <c r="E831" i="10" s="1"/>
  <c r="E930" i="10" s="1"/>
  <c r="J406" i="2"/>
  <c r="J405" i="2" s="1"/>
  <c r="L711" i="1" s="1"/>
  <c r="F261" i="2"/>
  <c r="J348" i="2"/>
  <c r="J346" i="2" s="1"/>
  <c r="J701" i="1" s="1"/>
  <c r="G368" i="2"/>
  <c r="F358" i="2" s="1"/>
  <c r="F402" i="2"/>
  <c r="C522" i="2"/>
  <c r="B535" i="2"/>
  <c r="B536" i="2" s="1"/>
  <c r="C538" i="2" s="1"/>
  <c r="G308" i="2"/>
  <c r="J329" i="2"/>
  <c r="J330" i="2" s="1"/>
  <c r="J705" i="1" s="1"/>
  <c r="B324" i="2"/>
  <c r="B325" i="2" s="1"/>
  <c r="C327" i="2" s="1"/>
  <c r="C310" i="2"/>
  <c r="G331" i="2"/>
  <c r="J193" i="2"/>
  <c r="F204" i="2"/>
  <c r="J196" i="2"/>
  <c r="P632" i="1"/>
  <c r="F728" i="1"/>
  <c r="E462" i="2"/>
  <c r="P666" i="1"/>
  <c r="B393" i="2" l="1"/>
  <c r="B327" i="2"/>
  <c r="C344" i="2"/>
  <c r="F333" i="2" s="1"/>
  <c r="C407" i="2"/>
  <c r="J397" i="2"/>
  <c r="F363" i="2"/>
  <c r="C362" i="2" s="1"/>
  <c r="N195" i="2"/>
  <c r="J195" i="2"/>
  <c r="F697" i="1" s="1"/>
  <c r="N199" i="2"/>
  <c r="J198" i="2" s="1"/>
  <c r="F699" i="1" s="1"/>
  <c r="G204" i="2"/>
  <c r="J187" i="2"/>
  <c r="F709" i="1" s="1"/>
  <c r="F831" i="10"/>
  <c r="F930" i="10" s="1"/>
  <c r="B538" i="2"/>
  <c r="C555" i="2"/>
  <c r="F542" i="2" s="1"/>
  <c r="F555" i="2" s="1"/>
  <c r="E463" i="2"/>
  <c r="F463" i="2" s="1"/>
  <c r="J192" i="2"/>
  <c r="F695" i="1" s="1"/>
  <c r="J207" i="2"/>
  <c r="J205" i="2" s="1"/>
  <c r="J263" i="2"/>
  <c r="F275" i="2"/>
  <c r="J257" i="2" s="1"/>
  <c r="H709" i="1" s="1"/>
  <c r="J266" i="2"/>
  <c r="J417" i="2"/>
  <c r="C427" i="2"/>
  <c r="J339" i="2" l="1"/>
  <c r="F344" i="2"/>
  <c r="J342" i="2"/>
  <c r="F431" i="2"/>
  <c r="J277" i="2"/>
  <c r="J275" i="2" s="1"/>
  <c r="J262" i="2"/>
  <c r="H695" i="1" s="1"/>
  <c r="N265" i="2"/>
  <c r="J265" i="2"/>
  <c r="H697" i="1" s="1"/>
  <c r="F365" i="2"/>
  <c r="F380" i="2" s="1"/>
  <c r="C379" i="2" s="1"/>
  <c r="C363" i="2"/>
  <c r="J416" i="2"/>
  <c r="J415" i="2" s="1"/>
  <c r="L701" i="1" s="1"/>
  <c r="J409" i="2"/>
  <c r="N411" i="2" s="1"/>
  <c r="N413" i="2"/>
  <c r="N269" i="2"/>
  <c r="J268" i="2" s="1"/>
  <c r="H699" i="1" s="1"/>
  <c r="G273" i="2"/>
  <c r="N341" i="2" l="1"/>
  <c r="J341" i="2"/>
  <c r="J697" i="1" s="1"/>
  <c r="B394" i="2"/>
  <c r="B395" i="2" s="1"/>
  <c r="C397" i="2" s="1"/>
  <c r="J398" i="2"/>
  <c r="J399" i="2" s="1"/>
  <c r="L705" i="1" s="1"/>
  <c r="C380" i="2"/>
  <c r="G383" i="2"/>
  <c r="G431" i="2"/>
  <c r="F470" i="2"/>
  <c r="F432" i="2"/>
  <c r="C431" i="2" s="1"/>
  <c r="G346" i="2"/>
  <c r="N345" i="2"/>
  <c r="J344" i="2" s="1"/>
  <c r="J699" i="1" s="1"/>
  <c r="J355" i="2"/>
  <c r="J353" i="2" s="1"/>
  <c r="J338" i="2"/>
  <c r="J695" i="1" s="1"/>
  <c r="J333" i="2"/>
  <c r="J709" i="1" s="1"/>
  <c r="F434" i="2" l="1"/>
  <c r="F449" i="2" s="1"/>
  <c r="C448" i="2" s="1"/>
  <c r="C432" i="2"/>
  <c r="B397" i="2"/>
  <c r="B461" i="2"/>
  <c r="C414" i="2"/>
  <c r="B462" i="2" l="1"/>
  <c r="B495" i="2" s="1"/>
  <c r="B530" i="2" s="1"/>
  <c r="C449" i="2"/>
  <c r="B494" i="2"/>
  <c r="B529" i="2" s="1"/>
  <c r="F401" i="2"/>
  <c r="B463" i="2" l="1"/>
  <c r="C465" i="2" s="1"/>
  <c r="B465" i="2" s="1"/>
  <c r="J408" i="2"/>
  <c r="F414" i="2"/>
  <c r="J411" i="2"/>
  <c r="C482" i="2" l="1"/>
  <c r="F469" i="2" s="1"/>
  <c r="F482" i="2" s="1"/>
  <c r="N414" i="2"/>
  <c r="J413" i="2" s="1"/>
  <c r="L699" i="1" s="1"/>
  <c r="J402" i="2"/>
  <c r="L709" i="1" s="1"/>
  <c r="G416" i="2"/>
  <c r="J442" i="2"/>
  <c r="J420" i="2" s="1"/>
  <c r="J407" i="2"/>
  <c r="L695" i="1" s="1"/>
  <c r="N410" i="2"/>
  <c r="J410" i="2"/>
  <c r="L697" i="1" s="1"/>
</calcChain>
</file>

<file path=xl/sharedStrings.xml><?xml version="1.0" encoding="utf-8"?>
<sst xmlns="http://schemas.openxmlformats.org/spreadsheetml/2006/main" count="1521" uniqueCount="791">
  <si>
    <t xml:space="preserve">Name of shop </t>
  </si>
  <si>
    <t xml:space="preserve">M/S.SHAS DESIGN AND PRINTING </t>
  </si>
  <si>
    <t xml:space="preserve">NAME OF BUILDING &amp; LAND MARK /PLACE </t>
  </si>
  <si>
    <t>NEAR POST OFFICE, NILESHWAR</t>
  </si>
  <si>
    <t xml:space="preserve">BUILDING NO. </t>
  </si>
  <si>
    <t>W-III/1022</t>
  </si>
  <si>
    <t xml:space="preserve">GST  NO. </t>
  </si>
  <si>
    <t xml:space="preserve">MONTHLY RENT OF SHOP </t>
  </si>
  <si>
    <t xml:space="preserve">VILLAGE </t>
  </si>
  <si>
    <t>NILESHWAR</t>
  </si>
  <si>
    <t>MUNICIPALITY</t>
  </si>
  <si>
    <t xml:space="preserve">POST OFFICE </t>
  </si>
  <si>
    <t xml:space="preserve">TALUK </t>
  </si>
  <si>
    <t>HOSDURG</t>
  </si>
  <si>
    <t xml:space="preserve">BLOCK </t>
  </si>
  <si>
    <t xml:space="preserve">DISTRICT </t>
  </si>
  <si>
    <t>KASARAGOD</t>
  </si>
  <si>
    <t xml:space="preserve">PIN CODE </t>
  </si>
  <si>
    <t xml:space="preserve">AS PER ADHAR CARD </t>
  </si>
  <si>
    <t xml:space="preserve">GENDER </t>
  </si>
  <si>
    <t>MALE</t>
  </si>
  <si>
    <t xml:space="preserve">NAME OF PROPRIETOR </t>
  </si>
  <si>
    <t>SHAFEEK N N</t>
  </si>
  <si>
    <t xml:space="preserve">W/O S/O D/O </t>
  </si>
  <si>
    <t>S/o.</t>
  </si>
  <si>
    <t>Name of Father</t>
  </si>
  <si>
    <t>M MOIDEEN</t>
  </si>
  <si>
    <t xml:space="preserve">HOUSE NAME </t>
  </si>
  <si>
    <t>BAITHUL SHAMNA HOUSE</t>
  </si>
  <si>
    <t>KANHANGAD</t>
  </si>
  <si>
    <t>OZHINJAVALAPPU</t>
  </si>
  <si>
    <t xml:space="preserve">CONTACT NUMBER </t>
  </si>
  <si>
    <t xml:space="preserve">Date Of Birth </t>
  </si>
  <si>
    <t xml:space="preserve"> 10/05/1988</t>
  </si>
  <si>
    <t>PAN No:</t>
  </si>
  <si>
    <t>EVOPS0533P</t>
  </si>
  <si>
    <t>ADHAAR CARD NO.</t>
  </si>
  <si>
    <t>3616 3601 1234</t>
  </si>
  <si>
    <t xml:space="preserve">Line of activity </t>
  </si>
  <si>
    <t>SERVICE</t>
  </si>
  <si>
    <t xml:space="preserve">Status of the unit </t>
  </si>
  <si>
    <t>FRESH</t>
  </si>
  <si>
    <t>Qualification</t>
  </si>
  <si>
    <t>SSLC</t>
  </si>
  <si>
    <t xml:space="preserve">Experience (Yrs) in this field </t>
  </si>
  <si>
    <t xml:space="preserve">Proposed Business </t>
  </si>
  <si>
    <t>DIGITAL PRINTING</t>
  </si>
  <si>
    <t xml:space="preserve">Scheme of Loan </t>
  </si>
  <si>
    <t>MUDRA</t>
  </si>
  <si>
    <t xml:space="preserve">No. Of YEARS Loan Required </t>
  </si>
  <si>
    <t xml:space="preserve">NAMEOF BANK </t>
  </si>
  <si>
    <t>FEDERAL BANK</t>
  </si>
  <si>
    <t xml:space="preserve">BRANCH </t>
  </si>
  <si>
    <t>IT SHOULBE SHOWN  AFTER THE MACHINE &amp; WC</t>
  </si>
  <si>
    <t xml:space="preserve">TOTAL PROJECT COST </t>
  </si>
  <si>
    <t xml:space="preserve">LOAN AMOUNT REQUIRED </t>
  </si>
  <si>
    <t>DETAILS OF MACHINARY &amp; FIXED ASSET</t>
  </si>
  <si>
    <t xml:space="preserve">         PARTICULARS </t>
  </si>
  <si>
    <t xml:space="preserve">RATE                    </t>
  </si>
  <si>
    <t xml:space="preserve">     QTY      </t>
  </si>
  <si>
    <t xml:space="preserve">     AMOUNT </t>
  </si>
  <si>
    <t>INTEIOR DECORATION</t>
  </si>
  <si>
    <t>XEROX COLOR PRINTER</t>
  </si>
  <si>
    <t>STICKER SCORING MACHINE</t>
  </si>
  <si>
    <t xml:space="preserve">COMPUTER SYSTEM  13-10TH  GEN </t>
  </si>
  <si>
    <t xml:space="preserve">INVERTOR 3KVA </t>
  </si>
  <si>
    <t>GODREREJ A/C</t>
  </si>
  <si>
    <t>LLOYD A/C</t>
  </si>
  <si>
    <t>HALER A/C</t>
  </si>
  <si>
    <t>COMPUTER CHAIR , TABLE Etc.</t>
  </si>
  <si>
    <t xml:space="preserve">WORKING CAPITAL </t>
  </si>
  <si>
    <t xml:space="preserve">RATE </t>
  </si>
  <si>
    <t xml:space="preserve">QTY </t>
  </si>
  <si>
    <t xml:space="preserve">AMOUNT </t>
  </si>
  <si>
    <t>TONER</t>
  </si>
  <si>
    <t>CLEAR STICKER BUNDLE</t>
  </si>
  <si>
    <t>PAPER STICKER BUNDLE</t>
  </si>
  <si>
    <t>VINYL STICKER</t>
  </si>
  <si>
    <t>100 GSM PAPER BUNDLE</t>
  </si>
  <si>
    <t>170 GSM PA[PER BUNDLE</t>
  </si>
  <si>
    <t>220 GSM PAPER BUNDLE</t>
  </si>
  <si>
    <t>300GSM PAPER BUNDLE</t>
  </si>
  <si>
    <t>GST  % 18</t>
  </si>
  <si>
    <t xml:space="preserve">SALES </t>
  </si>
  <si>
    <t xml:space="preserve">QTY /KG </t>
  </si>
  <si>
    <t>INPUT AREA MATTERS</t>
  </si>
  <si>
    <t>-</t>
  </si>
  <si>
    <t>PROJECT –REPORT</t>
  </si>
  <si>
    <t xml:space="preserve">ON </t>
  </si>
  <si>
    <t xml:space="preserve">PROMOTED BY : </t>
  </si>
  <si>
    <t>Cell No:</t>
  </si>
  <si>
    <t xml:space="preserve">FINANCE applied to </t>
  </si>
  <si>
    <r>
      <rPr>
        <sz val="14"/>
        <rFont val="Wingdings"/>
        <charset val="2"/>
      </rPr>
      <t>v</t>
    </r>
    <r>
      <rPr>
        <sz val="7"/>
        <rFont val="Times New Roman"/>
        <charset val="134"/>
      </rPr>
      <t xml:space="preserve"> </t>
    </r>
    <r>
      <rPr>
        <b/>
        <sz val="14"/>
        <rFont val="Algerian"/>
        <charset val="134"/>
      </rPr>
      <t xml:space="preserve">1) INTRODUCTION </t>
    </r>
  </si>
  <si>
    <r>
      <rPr>
        <sz val="14"/>
        <rFont val="Wingdings"/>
        <charset val="2"/>
      </rPr>
      <t>v</t>
    </r>
    <r>
      <rPr>
        <sz val="7"/>
        <rFont val="Times New Roman"/>
        <charset val="134"/>
      </rPr>
      <t xml:space="preserve"> </t>
    </r>
    <r>
      <rPr>
        <b/>
        <sz val="14"/>
        <rFont val="Algerian"/>
        <charset val="134"/>
      </rPr>
      <t xml:space="preserve">2) PROJECT  PARTICULARS </t>
    </r>
  </si>
  <si>
    <r>
      <rPr>
        <sz val="14"/>
        <rFont val="Wingdings"/>
        <charset val="2"/>
      </rPr>
      <t>v</t>
    </r>
    <r>
      <rPr>
        <sz val="7"/>
        <rFont val="Times New Roman"/>
        <charset val="134"/>
      </rPr>
      <t xml:space="preserve"> </t>
    </r>
    <r>
      <rPr>
        <b/>
        <sz val="14"/>
        <rFont val="Algerian"/>
        <charset val="134"/>
      </rPr>
      <t>3) SOURCE OF FINANCE</t>
    </r>
  </si>
  <si>
    <r>
      <rPr>
        <sz val="14"/>
        <rFont val="Wingdings"/>
        <charset val="2"/>
      </rPr>
      <t>v</t>
    </r>
    <r>
      <rPr>
        <sz val="7"/>
        <rFont val="Times New Roman"/>
        <charset val="134"/>
      </rPr>
      <t xml:space="preserve"> </t>
    </r>
    <r>
      <rPr>
        <b/>
        <sz val="14"/>
        <rFont val="Algerian"/>
        <charset val="134"/>
      </rPr>
      <t xml:space="preserve">4) COST OFMAINTAINENCE  PER MONTH </t>
    </r>
  </si>
  <si>
    <r>
      <rPr>
        <sz val="14"/>
        <rFont val="Wingdings"/>
        <charset val="2"/>
      </rPr>
      <t>v</t>
    </r>
    <r>
      <rPr>
        <sz val="7"/>
        <rFont val="Times New Roman"/>
        <charset val="134"/>
      </rPr>
      <t xml:space="preserve"> </t>
    </r>
    <r>
      <rPr>
        <b/>
        <sz val="14"/>
        <rFont val="Algerian"/>
        <charset val="134"/>
      </rPr>
      <t xml:space="preserve">5) ANNUAL SALES TURNOVER AND REALISATION </t>
    </r>
  </si>
  <si>
    <r>
      <rPr>
        <sz val="14"/>
        <rFont val="Wingdings"/>
        <charset val="2"/>
      </rPr>
      <t>v</t>
    </r>
    <r>
      <rPr>
        <sz val="7"/>
        <rFont val="Times New Roman"/>
        <charset val="134"/>
      </rPr>
      <t xml:space="preserve"> </t>
    </r>
    <r>
      <rPr>
        <b/>
        <sz val="14"/>
        <rFont val="Algerian"/>
        <charset val="134"/>
      </rPr>
      <t>6) BREAK EVEN ANALYSIS</t>
    </r>
  </si>
  <si>
    <r>
      <rPr>
        <sz val="14"/>
        <rFont val="Wingdings"/>
        <charset val="2"/>
      </rPr>
      <t>v</t>
    </r>
    <r>
      <rPr>
        <sz val="7"/>
        <rFont val="Times New Roman"/>
        <charset val="134"/>
      </rPr>
      <t xml:space="preserve"> </t>
    </r>
    <r>
      <rPr>
        <b/>
        <sz val="14"/>
        <rFont val="Algerian"/>
        <charset val="134"/>
      </rPr>
      <t>7) DEBT SERVICE COVERAGE  RATIO</t>
    </r>
  </si>
  <si>
    <r>
      <rPr>
        <sz val="14"/>
        <rFont val="Wingdings"/>
        <charset val="2"/>
      </rPr>
      <t>v</t>
    </r>
    <r>
      <rPr>
        <sz val="7"/>
        <rFont val="Times New Roman"/>
        <charset val="134"/>
      </rPr>
      <t xml:space="preserve"> </t>
    </r>
    <r>
      <rPr>
        <b/>
        <sz val="14"/>
        <rFont val="Algerian"/>
        <charset val="134"/>
      </rPr>
      <t>8) CASH FLOW</t>
    </r>
  </si>
  <si>
    <r>
      <rPr>
        <sz val="14"/>
        <rFont val="Wingdings"/>
        <charset val="2"/>
      </rPr>
      <t>v</t>
    </r>
    <r>
      <rPr>
        <sz val="7"/>
        <rFont val="Times New Roman"/>
        <charset val="134"/>
      </rPr>
      <t xml:space="preserve"> </t>
    </r>
    <r>
      <rPr>
        <b/>
        <sz val="14"/>
        <rFont val="Algerian"/>
        <charset val="134"/>
      </rPr>
      <t xml:space="preserve">9) PROJECTIONS OF PERFORMANCE &amp; PROFITABILTY </t>
    </r>
  </si>
  <si>
    <r>
      <rPr>
        <sz val="14"/>
        <rFont val="Wingdings"/>
        <charset val="2"/>
      </rPr>
      <t>v</t>
    </r>
    <r>
      <rPr>
        <sz val="7"/>
        <rFont val="Times New Roman"/>
        <charset val="134"/>
      </rPr>
      <t xml:space="preserve"> </t>
    </r>
    <r>
      <rPr>
        <b/>
        <sz val="14"/>
        <rFont val="Algerian"/>
        <charset val="134"/>
      </rPr>
      <t>10) CONCLUSION</t>
    </r>
  </si>
  <si>
    <t xml:space="preserve">1.INTRODUCTION </t>
  </si>
  <si>
    <t>A well experienced Individual with sufficient background in his  endeavor has proposed to set up a</t>
  </si>
  <si>
    <t xml:space="preserve">unit   under the name  and style  of </t>
  </si>
  <si>
    <t>KERALA        PIN -</t>
  </si>
  <si>
    <t>Now-a-days, every activities of social and personal gathering increases the demand on printing</t>
  </si>
  <si>
    <t xml:space="preserve"> Medias, such as flex banners, signage, advertisement posters, invitations cards etc… Such demands</t>
  </si>
  <si>
    <t xml:space="preserve"> are met by a highly mechanized and computerized printing enterprise. A graphic printing enterprise </t>
  </si>
  <si>
    <t>provides each and every required printing medias to its users with a products and services ranging</t>
  </si>
  <si>
    <t xml:space="preserve"> from low-end printing medias for single use to high quality printing medias</t>
  </si>
  <si>
    <t xml:space="preserve">PROMOTER </t>
  </si>
  <si>
    <t xml:space="preserve"> The Proprietor and the sole owner  of the unit  is </t>
  </si>
  <si>
    <t xml:space="preserve">Residing at </t>
  </si>
  <si>
    <t>Pachayath</t>
  </si>
  <si>
    <t xml:space="preserve">District </t>
  </si>
  <si>
    <t xml:space="preserve">is well expert,having thourogh knowledge by working in  so many  flux &amp; desiging firms , though   </t>
  </si>
  <si>
    <t xml:space="preserve">Years of working experience in the same field.The promoter believes in sustained </t>
  </si>
  <si>
    <t xml:space="preserve">
</t>
  </si>
  <si>
    <t xml:space="preserve">quality service and value to every customer.The rate planned  for customers is almost  comparitively </t>
  </si>
  <si>
    <t xml:space="preserve">lower in market to attract the customers and service is very high in rating  The promoter has the skill </t>
  </si>
  <si>
    <t xml:space="preserve">to develop the  business with innovative skill  and  ideas by watching  the present market condition </t>
  </si>
  <si>
    <t>and forecast  what  trends will  come in future  also and make business strategy on this basis.</t>
  </si>
  <si>
    <t>The Promoter had  prior experience in beauty parlour service and  items trading , then deceided to</t>
  </si>
  <si>
    <t xml:space="preserve"> start the business as an  own business.</t>
  </si>
  <si>
    <t>s</t>
  </si>
  <si>
    <t xml:space="preserve">LOCATION </t>
  </si>
  <si>
    <t xml:space="preserve">The unit is proposed to be set up at the </t>
  </si>
  <si>
    <t>RENTED  BUILDING</t>
  </si>
  <si>
    <t>No:</t>
  </si>
  <si>
    <t xml:space="preserve">Taluk </t>
  </si>
  <si>
    <t xml:space="preserve">The location is well suited for the proposed activity and all infrastructure facilities like availabilty </t>
  </si>
  <si>
    <t xml:space="preserve"> of employees,transportation and amble parking etc for the unit .</t>
  </si>
  <si>
    <t>MARKET POTENTIAL</t>
  </si>
  <si>
    <t>Stickers  and printing  market in India is growing rapidly nowadays. Additionally, the item is the most</t>
  </si>
  <si>
    <t xml:space="preserve"> popular tool for any type of outdoor and as well indoor advertising. We can see a growing demand</t>
  </si>
  <si>
    <t xml:space="preserve"> in almost every city in all over Kerala .</t>
  </si>
  <si>
    <t xml:space="preserve">Some of the most potential consumers are regional and national political parties. </t>
  </si>
  <si>
    <t>Some of the most potential consumers are regional and national political parties. They use banners</t>
  </si>
  <si>
    <t xml:space="preserve"> in almost every programs and rally. Additionally, companies operating in the several industries use</t>
  </si>
  <si>
    <t xml:space="preserve"> banners for various purposes. Apart from the digital signage, flex is the only instrument for outdoor</t>
  </si>
  <si>
    <t xml:space="preserve"> media advertising. Furthermore, every school, educational institutions, and sports organizations</t>
  </si>
  <si>
    <t xml:space="preserve"> use flex ,banners in almost every event. Additionally, there is good domestic market also.</t>
  </si>
  <si>
    <t xml:space="preserve">Nowadays, people use stickers,  banners in the events including birthday parties or social gatherings. </t>
  </si>
  <si>
    <t>Therefore, the flex printing business has the potential market for the new entrepreneurs.</t>
  </si>
  <si>
    <t xml:space="preserve">RAW MATERIALS/PRODUCTS/SERVICE </t>
  </si>
  <si>
    <t>CLEAR STICKER</t>
  </si>
  <si>
    <t>PAPER STICKER</t>
  </si>
  <si>
    <t>100 GSM PAPER</t>
  </si>
  <si>
    <t>130 GSM PA[PER</t>
  </si>
  <si>
    <t>220 GSM PAPER</t>
  </si>
  <si>
    <t xml:space="preserve">300GSM PAPER etc are available  localy in wholsale rate </t>
  </si>
  <si>
    <t>QUALITY CONTROL &amp; STANDARD</t>
  </si>
  <si>
    <t xml:space="preserve">Strict quality control norms and hygienic conditions as per Health regulations will have </t>
  </si>
  <si>
    <t>to be maintained and  checked by at every stage in the beautification   process. And</t>
  </si>
  <si>
    <t>the promoter also check all ingredients or any other allergic materials used or not  will</t>
  </si>
  <si>
    <t>have to be clearly check  out on each items  while purchasing.</t>
  </si>
  <si>
    <t>MARKETING</t>
  </si>
  <si>
    <t>On the basis of mouth advertisement and good behavior to  customers helps the promoter to</t>
  </si>
  <si>
    <t xml:space="preserve">market  the service &amp; products  without any difficulty . The promoter is the   resident of the  firm </t>
  </si>
  <si>
    <t xml:space="preserve">situated area and  has  good contacts with the customers in this  place  for getting orders  easily. </t>
  </si>
  <si>
    <t xml:space="preserve">So the project is financially   feasible and viable. and  will not be face any market problem at all, this </t>
  </si>
  <si>
    <t xml:space="preserve">type of unit not engaged  in the locality and  the unit. have more amplescope all over the State . The </t>
  </si>
  <si>
    <t xml:space="preserve">proprietor is well experienced in marketing and  had a wide range of friends circle , experiences </t>
  </si>
  <si>
    <t xml:space="preserve">in somany  beauty  parlours as beautician can utilize these relations to increase the business and </t>
  </si>
  <si>
    <t xml:space="preserve">can achieve the the desired target of  turnover and profit also. </t>
  </si>
  <si>
    <t>1.PROJECT  HIGHLIGHTS</t>
  </si>
  <si>
    <t xml:space="preserve">YEAR OF LOAN </t>
  </si>
  <si>
    <t>Name  Of    Unit , Loaction  &amp; Address</t>
  </si>
  <si>
    <t xml:space="preserve">PENDING MONTHS IN THIS FINANCIAL YEAR </t>
  </si>
  <si>
    <t xml:space="preserve">Building No. </t>
  </si>
  <si>
    <t xml:space="preserve">UPTO DEC WORK OUT </t>
  </si>
  <si>
    <t>Village</t>
  </si>
  <si>
    <t>count from present month to next  march</t>
  </si>
  <si>
    <t>Muicipalty/Panchayath</t>
  </si>
  <si>
    <t>Block</t>
  </si>
  <si>
    <t xml:space="preserve"> District</t>
  </si>
  <si>
    <t xml:space="preserve">IF FUNCTION KEY </t>
  </si>
  <si>
    <t>PIN</t>
  </si>
  <si>
    <t>Chief Executive Name</t>
  </si>
  <si>
    <t xml:space="preserve"> Rqrd  for Monyhly </t>
  </si>
  <si>
    <t xml:space="preserve"> divided by 1</t>
  </si>
  <si>
    <t xml:space="preserve">3 MONTHS SALES REVENUE </t>
  </si>
  <si>
    <t xml:space="preserve"> Rqrd  for Quarterly </t>
  </si>
  <si>
    <t>divided by  3</t>
  </si>
  <si>
    <t>Address</t>
  </si>
  <si>
    <t>MUDRA LOAN</t>
  </si>
  <si>
    <t xml:space="preserve">IF (K11 &gt;M13,"3MONTHS SALES REVENUE) </t>
  </si>
  <si>
    <t xml:space="preserve">IF (K11 &lt;M13,"MONTHLY SALES REVENUE) </t>
  </si>
  <si>
    <t xml:space="preserve">PMEGP LOAN </t>
  </si>
  <si>
    <t xml:space="preserve">Age, Date Of Birth </t>
  </si>
  <si>
    <t xml:space="preserve">NO. OF WORKERS </t>
  </si>
  <si>
    <t>NO. OF MACHINE WHICH IS HIGH )</t>
  </si>
  <si>
    <t xml:space="preserve">Term loan amt divided by 1 lakh </t>
  </si>
  <si>
    <t xml:space="preserve">without decimal , to nxt full digit </t>
  </si>
  <si>
    <t xml:space="preserve">Proposed Business  </t>
  </si>
  <si>
    <t>PERCENTAGE OF BANK LOAN  INT.</t>
  </si>
  <si>
    <t xml:space="preserve">Yearsof  Experience in this field </t>
  </si>
  <si>
    <t xml:space="preserve">AUDIT FEE </t>
  </si>
  <si>
    <t xml:space="preserve">WC </t>
  </si>
  <si>
    <t xml:space="preserve">IF (M30 &gt;M31,"1000) </t>
  </si>
  <si>
    <t xml:space="preserve">W.C  UPTO 5 LAKH </t>
  </si>
  <si>
    <t xml:space="preserve">IF (M30&lt;M31,"500) </t>
  </si>
  <si>
    <t xml:space="preserve">OFOE </t>
  </si>
  <si>
    <t xml:space="preserve">Details of collateral security </t>
  </si>
  <si>
    <t xml:space="preserve">MACHINARY &amp; STOCK </t>
  </si>
  <si>
    <t xml:space="preserve">W.C  ABOVE  5 LAKH </t>
  </si>
  <si>
    <t xml:space="preserve">Fixed Capital </t>
  </si>
  <si>
    <t xml:space="preserve">NOT LINKED </t>
  </si>
  <si>
    <t xml:space="preserve">working Capital </t>
  </si>
  <si>
    <t xml:space="preserve">DATE: FOR SUSHIL ONLY cuurent datein PR &amp; + 5 days  IN BANK APLLICATION </t>
  </si>
  <si>
    <t>Total Cost Of the Project</t>
  </si>
  <si>
    <t>Means of Finance</t>
  </si>
  <si>
    <t>No. Of months loan required</t>
  </si>
  <si>
    <t>a) Own  fund</t>
  </si>
  <si>
    <t>b)Term Loan</t>
  </si>
  <si>
    <t xml:space="preserve">CHITTY </t>
  </si>
  <si>
    <t>c)Working Capital loan</t>
  </si>
  <si>
    <t>Total</t>
  </si>
  <si>
    <t xml:space="preserve">PERCENTAGE OF EXPENSES </t>
  </si>
  <si>
    <t>0.85to 6</t>
  </si>
  <si>
    <t>Total Connected load</t>
  </si>
  <si>
    <t>1hp</t>
  </si>
  <si>
    <t xml:space="preserve">ON  WORKING CAPITAL </t>
  </si>
  <si>
    <t xml:space="preserve">Employemnt Potential </t>
  </si>
  <si>
    <t xml:space="preserve">Expected Sales Per annum </t>
  </si>
  <si>
    <t>Transportation</t>
  </si>
  <si>
    <t xml:space="preserve">Operating Profit </t>
  </si>
  <si>
    <t xml:space="preserve">Electricity charges </t>
  </si>
  <si>
    <t>Break Even Point  -BEP</t>
  </si>
  <si>
    <t xml:space="preserve">Printing &amp; Stationary </t>
  </si>
  <si>
    <t xml:space="preserve">Debt Service Coverage Ratio </t>
  </si>
  <si>
    <t>:1</t>
  </si>
  <si>
    <t xml:space="preserve">Telephone &amp; internrt charges </t>
  </si>
  <si>
    <t xml:space="preserve">Land &amp; Building </t>
  </si>
  <si>
    <t>RENTED Per YEAR in Rs.</t>
  </si>
  <si>
    <t xml:space="preserve">Repairs &amp; others </t>
  </si>
  <si>
    <t xml:space="preserve">Advertisement Charges </t>
  </si>
  <si>
    <t xml:space="preserve">FINANCING BANK </t>
  </si>
  <si>
    <t>Miscellaneous expenses</t>
  </si>
  <si>
    <t xml:space="preserve">GST rate : </t>
  </si>
  <si>
    <t>5-18%</t>
  </si>
  <si>
    <t xml:space="preserve">DEPRECIATION </t>
  </si>
  <si>
    <t xml:space="preserve"> MONTHS EQUATION </t>
  </si>
  <si>
    <t xml:space="preserve">Dep.AMT </t>
  </si>
  <si>
    <r>
      <rPr>
        <b/>
        <sz val="16"/>
        <color theme="0"/>
        <rFont val="Century"/>
        <charset val="134"/>
      </rPr>
      <t xml:space="preserve">2. </t>
    </r>
    <r>
      <rPr>
        <b/>
        <u/>
        <sz val="16"/>
        <color indexed="9"/>
        <rFont val="Century"/>
        <charset val="134"/>
      </rPr>
      <t xml:space="preserve">PROJECT  PARTICULARS </t>
    </r>
  </si>
  <si>
    <t xml:space="preserve"> HAS TO ENTER </t>
  </si>
  <si>
    <t xml:space="preserve">AUTOMATIC </t>
  </si>
  <si>
    <r>
      <rPr>
        <sz val="16"/>
        <color rgb="FF002060"/>
        <rFont val="Arial"/>
        <charset val="134"/>
      </rPr>
      <t>A.</t>
    </r>
    <r>
      <rPr>
        <b/>
        <u/>
        <sz val="16"/>
        <color indexed="56"/>
        <rFont val="Arial"/>
        <charset val="134"/>
      </rPr>
      <t xml:space="preserve">FIXED INVESTMENTS </t>
    </r>
  </si>
  <si>
    <t xml:space="preserve">(a) Land &amp; Building </t>
  </si>
  <si>
    <t>(b) Plant &amp; Equipments</t>
  </si>
  <si>
    <t>MACHINARY ,FURNITURES &amp; FITTINGS</t>
  </si>
  <si>
    <t xml:space="preserve">PARTICULARS </t>
  </si>
  <si>
    <t>RATE</t>
  </si>
  <si>
    <t>QTY</t>
  </si>
  <si>
    <t xml:space="preserve">    AMOUNT </t>
  </si>
  <si>
    <t xml:space="preserve">TOTAL INCLUDING GST </t>
  </si>
  <si>
    <t xml:space="preserve">Total </t>
  </si>
  <si>
    <t>Rs.</t>
  </si>
  <si>
    <t>B. WORKING CAPITAL REQUIRMENTS (RAW MATERIALS)</t>
  </si>
  <si>
    <t>MOMENTOS</t>
  </si>
  <si>
    <t>GST PAID @</t>
  </si>
  <si>
    <t>%</t>
  </si>
  <si>
    <t xml:space="preserve">TOTAL </t>
  </si>
  <si>
    <t xml:space="preserve">                               Say Rs. </t>
  </si>
  <si>
    <t xml:space="preserve">C.TOTAL COST OF THE PROJECT </t>
  </si>
  <si>
    <t xml:space="preserve">Fixed Investments </t>
  </si>
  <si>
    <t xml:space="preserve">Working Capital </t>
  </si>
  <si>
    <t>3. SOURCE OF  FINANCE</t>
  </si>
  <si>
    <t xml:space="preserve">OWN FUND </t>
  </si>
  <si>
    <t xml:space="preserve"> BANK LOAN</t>
  </si>
  <si>
    <t>Fixed Investments (Term Loan)</t>
  </si>
  <si>
    <t>Working Capital  (Cash Credit)</t>
  </si>
  <si>
    <r>
      <rPr>
        <sz val="16"/>
        <color rgb="FF002060"/>
        <rFont val="Century"/>
        <charset val="134"/>
      </rPr>
      <t>4.</t>
    </r>
    <r>
      <rPr>
        <b/>
        <sz val="16"/>
        <color indexed="56"/>
        <rFont val="Century"/>
        <charset val="134"/>
      </rPr>
      <t xml:space="preserve">COST OF MAINTAINENCE PER MONTH </t>
    </r>
  </si>
  <si>
    <t xml:space="preserve">Raw Materials for a Month </t>
  </si>
  <si>
    <t xml:space="preserve">Salary and Wages </t>
  </si>
  <si>
    <t xml:space="preserve">MAN POWER REQUIRED </t>
  </si>
  <si>
    <t xml:space="preserve">Salary </t>
  </si>
  <si>
    <t xml:space="preserve">No. of Staff </t>
  </si>
  <si>
    <t xml:space="preserve">Skilled Staff </t>
  </si>
  <si>
    <t>Helpers</t>
  </si>
  <si>
    <t xml:space="preserve">TOATL </t>
  </si>
  <si>
    <t>Transportation &amp; Travelling charges</t>
  </si>
  <si>
    <t xml:space="preserve">Telephone &amp; Internet charges </t>
  </si>
  <si>
    <t xml:space="preserve">Interest &amp; Bank Charges </t>
  </si>
  <si>
    <t xml:space="preserve">Depreciation </t>
  </si>
  <si>
    <t xml:space="preserve">GST paid </t>
  </si>
  <si>
    <t xml:space="preserve">Cess paid </t>
  </si>
  <si>
    <t xml:space="preserve">Audit Fee &amp; Lagal Charges </t>
  </si>
  <si>
    <t xml:space="preserve">Rent </t>
  </si>
  <si>
    <t xml:space="preserve">TOTAL MONTHLY EXPENSES </t>
  </si>
  <si>
    <t xml:space="preserve">5.ANNUAL IINCOME TURNOVER AND REALISATION </t>
  </si>
  <si>
    <t xml:space="preserve">   RATE</t>
  </si>
  <si>
    <t xml:space="preserve">QTY/SQFT   </t>
  </si>
  <si>
    <t xml:space="preserve">                                                                                                      </t>
  </si>
  <si>
    <t>PRINTING CHARGES  (STICKERS )</t>
  </si>
  <si>
    <t>PRINTING CHARGES  (VINYL )</t>
  </si>
  <si>
    <t xml:space="preserve">DESIGNING CAHRGES </t>
  </si>
  <si>
    <t xml:space="preserve">MOMENTOS WITH  PRITING </t>
  </si>
  <si>
    <t>GST COLLECTED                @</t>
  </si>
  <si>
    <t xml:space="preserve">Monthly Sales Turn over </t>
  </si>
  <si>
    <t>Less: Recurring expenses</t>
  </si>
  <si>
    <t xml:space="preserve">Profit per month </t>
  </si>
  <si>
    <t xml:space="preserve">Operational profit per Annum </t>
  </si>
  <si>
    <t>Less: Provision for Income Tax</t>
  </si>
  <si>
    <t>Less: Promoters  Drawings</t>
  </si>
  <si>
    <t xml:space="preserve">Add: back Depreciation </t>
  </si>
  <si>
    <t xml:space="preserve">Annual  Surplus </t>
  </si>
  <si>
    <t>Total Rs.</t>
  </si>
  <si>
    <t>6.BREAK EVEN ANALYSIS</t>
  </si>
  <si>
    <t>Rs. In Lakh</t>
  </si>
  <si>
    <t>A. Receipts</t>
  </si>
  <si>
    <r>
      <rPr>
        <sz val="15"/>
        <color theme="0"/>
        <rFont val="Arial"/>
        <charset val="134"/>
      </rPr>
      <t xml:space="preserve">I  </t>
    </r>
    <r>
      <rPr>
        <b/>
        <sz val="15"/>
        <color indexed="9"/>
        <rFont val="Arial"/>
        <charset val="134"/>
      </rPr>
      <t>VARIABLE EXPENSES</t>
    </r>
  </si>
  <si>
    <t>(a)  Raw materials</t>
  </si>
  <si>
    <t>(b)  Salaries &amp; wages</t>
  </si>
  <si>
    <t xml:space="preserve">(C) Telephone charges </t>
  </si>
  <si>
    <t xml:space="preserve">(d ) Electricity Charges </t>
  </si>
  <si>
    <t xml:space="preserve">(e) Gst paid </t>
  </si>
  <si>
    <t>(f) Cess Paid</t>
  </si>
  <si>
    <t>(g) Drawings</t>
  </si>
  <si>
    <r>
      <rPr>
        <sz val="16"/>
        <color theme="0"/>
        <rFont val="Arial"/>
        <charset val="134"/>
      </rPr>
      <t xml:space="preserve">II  </t>
    </r>
    <r>
      <rPr>
        <b/>
        <u/>
        <sz val="16"/>
        <color indexed="9"/>
        <rFont val="Arial"/>
        <charset val="134"/>
      </rPr>
      <t>FIXED  EXPENSES</t>
    </r>
  </si>
  <si>
    <t xml:space="preserve">(a) Transport Charges </t>
  </si>
  <si>
    <t xml:space="preserve">(b ) Repairs &amp; others </t>
  </si>
  <si>
    <t xml:space="preserve">(c)Advertisement Charges </t>
  </si>
  <si>
    <t xml:space="preserve">(d ) Miscellaneous Expenses </t>
  </si>
  <si>
    <t xml:space="preserve">(e) printing &amp; Stationary </t>
  </si>
  <si>
    <t>(f)  Interest on Loan</t>
  </si>
  <si>
    <t>(g) Rent</t>
  </si>
  <si>
    <t xml:space="preserve">(h) Audit Fee </t>
  </si>
  <si>
    <t xml:space="preserve">(h) Depreciation </t>
  </si>
  <si>
    <t>B.  I+II</t>
  </si>
  <si>
    <t xml:space="preserve">    Surplus A-B </t>
  </si>
  <si>
    <r>
      <rPr>
        <b/>
        <sz val="16"/>
        <rFont val="Arial"/>
        <charset val="134"/>
      </rPr>
      <t xml:space="preserve">CONTRIBUTION </t>
    </r>
    <r>
      <rPr>
        <sz val="16"/>
        <rFont val="Arial"/>
        <charset val="134"/>
      </rPr>
      <t xml:space="preserve"> </t>
    </r>
  </si>
  <si>
    <t>A-I</t>
  </si>
  <si>
    <t>Break Even Point II  X 100/C</t>
  </si>
  <si>
    <t>Break Even Receipts  II  X A/C</t>
  </si>
  <si>
    <r>
      <rPr>
        <b/>
        <sz val="16"/>
        <color rgb="FF002060"/>
        <rFont val="Century"/>
        <charset val="134"/>
      </rPr>
      <t>7.</t>
    </r>
    <r>
      <rPr>
        <b/>
        <u/>
        <sz val="16"/>
        <color indexed="56"/>
        <rFont val="Century"/>
        <charset val="134"/>
      </rPr>
      <t xml:space="preserve">DEBT SERVICE COVERAGE RATIO </t>
    </r>
  </si>
  <si>
    <t xml:space="preserve">    1st Year </t>
  </si>
  <si>
    <t xml:space="preserve">    2nd Year </t>
  </si>
  <si>
    <t xml:space="preserve">   3rd Year </t>
  </si>
  <si>
    <t xml:space="preserve">  4th  Year </t>
  </si>
  <si>
    <t xml:space="preserve"> 5th  Year </t>
  </si>
  <si>
    <t xml:space="preserve">  6th  Year </t>
  </si>
  <si>
    <t xml:space="preserve"> 7th  Year </t>
  </si>
  <si>
    <t>Annual  Profit After Tax (PAT)</t>
  </si>
  <si>
    <t xml:space="preserve">Interest on Loan </t>
  </si>
  <si>
    <t>Annual loan Installments</t>
  </si>
  <si>
    <t>D.S.C. R</t>
  </si>
  <si>
    <t xml:space="preserve">Average DSCR </t>
  </si>
  <si>
    <t>:1.00</t>
  </si>
  <si>
    <r>
      <rPr>
        <b/>
        <sz val="16"/>
        <color indexed="56"/>
        <rFont val="Century"/>
        <charset val="134"/>
      </rPr>
      <t>8</t>
    </r>
    <r>
      <rPr>
        <sz val="16"/>
        <color indexed="56"/>
        <rFont val="Century"/>
        <charset val="134"/>
      </rPr>
      <t xml:space="preserve">. </t>
    </r>
    <r>
      <rPr>
        <b/>
        <sz val="16"/>
        <color indexed="56"/>
        <rFont val="Century"/>
        <charset val="134"/>
      </rPr>
      <t xml:space="preserve">CASH FLOW </t>
    </r>
  </si>
  <si>
    <t xml:space="preserve">Net Profit </t>
  </si>
  <si>
    <t>Own Fund</t>
  </si>
  <si>
    <t>Bank Loan  (T/L +WCL)</t>
  </si>
  <si>
    <t xml:space="preserve">             -</t>
  </si>
  <si>
    <t>Fixed Assets</t>
  </si>
  <si>
    <t xml:space="preserve">Increase - Working Capital </t>
  </si>
  <si>
    <t xml:space="preserve">Loan Installments </t>
  </si>
  <si>
    <t xml:space="preserve">Drawings </t>
  </si>
  <si>
    <t xml:space="preserve">Closing Cash </t>
  </si>
  <si>
    <t>8.A   PROJECT FEASABLITY  RATIOS</t>
  </si>
  <si>
    <t>1. Liquidity and Solvency Ratio</t>
  </si>
  <si>
    <t xml:space="preserve">Current Ratio(CR)    </t>
  </si>
  <si>
    <t>Acid-Test(Quick Ratio)QR</t>
  </si>
  <si>
    <t>R</t>
  </si>
  <si>
    <t>Debt  to  Asset</t>
  </si>
  <si>
    <t>Debt Equity Ratio</t>
  </si>
  <si>
    <t>2.  Profitability  Ratios</t>
  </si>
  <si>
    <t>Profit  Margin Ratio</t>
  </si>
  <si>
    <t>3. Turn over Ratios</t>
  </si>
  <si>
    <t>Asset turn over ratio</t>
  </si>
  <si>
    <t>Inventory turn over Ratio</t>
  </si>
  <si>
    <t xml:space="preserve">Working capital Turn Over Ratio </t>
  </si>
  <si>
    <t xml:space="preserve">IRR </t>
  </si>
  <si>
    <t>PERIODS</t>
  </si>
  <si>
    <t xml:space="preserve">CASH FLOW </t>
  </si>
  <si>
    <t>IRR</t>
  </si>
  <si>
    <t xml:space="preserve">9.PROJECTIONS OF PERFORMANCE &amp; PROFITABILITY </t>
  </si>
  <si>
    <t>Rs. In Lakhs</t>
  </si>
  <si>
    <t>`Receipts(sales)</t>
  </si>
  <si>
    <r>
      <rPr>
        <b/>
        <sz val="16"/>
        <color rgb="FF002060"/>
        <rFont val="Arial"/>
        <charset val="134"/>
      </rPr>
      <t xml:space="preserve">B. </t>
    </r>
    <r>
      <rPr>
        <b/>
        <u/>
        <sz val="16"/>
        <color indexed="56"/>
        <rFont val="Arial"/>
        <charset val="134"/>
      </rPr>
      <t xml:space="preserve">Cost of Operation </t>
    </r>
  </si>
  <si>
    <t xml:space="preserve">   </t>
  </si>
  <si>
    <t>1. Raw materials (purchases)</t>
  </si>
  <si>
    <t xml:space="preserve">2. Rent </t>
  </si>
  <si>
    <t xml:space="preserve">3.Repairs&amp;others  </t>
  </si>
  <si>
    <t>4.Salary &amp;wages</t>
  </si>
  <si>
    <t xml:space="preserve">5.Advertisement Charges </t>
  </si>
  <si>
    <t xml:space="preserve">6. Printing &amp; Stationary </t>
  </si>
  <si>
    <t>7.Telephone  &amp; internet charges</t>
  </si>
  <si>
    <t>8.Miscellanious exp</t>
  </si>
  <si>
    <t xml:space="preserve">9.GST paid </t>
  </si>
  <si>
    <t xml:space="preserve">10.Cess paid </t>
  </si>
  <si>
    <t>11. Audit Fee  &amp; legal charges</t>
  </si>
  <si>
    <t xml:space="preserve">12. Electricity Charges </t>
  </si>
  <si>
    <t xml:space="preserve">    Subtotal</t>
  </si>
  <si>
    <t xml:space="preserve">C. Other Expenses </t>
  </si>
  <si>
    <t xml:space="preserve">1. Transportation  </t>
  </si>
  <si>
    <t xml:space="preserve">2. Depreciation </t>
  </si>
  <si>
    <t xml:space="preserve">3. Int on Loan </t>
  </si>
  <si>
    <t xml:space="preserve">D.Total Cost  of production </t>
  </si>
  <si>
    <t xml:space="preserve">E. Gross operation Profit </t>
  </si>
  <si>
    <t xml:space="preserve">F. Net Profit </t>
  </si>
  <si>
    <t>G.Bank LoanSchedule</t>
  </si>
  <si>
    <t xml:space="preserve">Principle CC </t>
  </si>
  <si>
    <t xml:space="preserve">Instalment </t>
  </si>
  <si>
    <t xml:space="preserve">Pricipal T/L </t>
  </si>
  <si>
    <t xml:space="preserve">Interest CC +T/L </t>
  </si>
  <si>
    <t xml:space="preserve">Balance  @ every year end </t>
  </si>
  <si>
    <r>
      <rPr>
        <b/>
        <sz val="16"/>
        <color rgb="FF002060"/>
        <rFont val="Century"/>
        <charset val="134"/>
      </rPr>
      <t>10.</t>
    </r>
    <r>
      <rPr>
        <b/>
        <u/>
        <sz val="16"/>
        <color indexed="56"/>
        <rFont val="Century"/>
        <charset val="134"/>
      </rPr>
      <t xml:space="preserve"> CONCLUSION </t>
    </r>
  </si>
  <si>
    <t xml:space="preserve">The location of the unit is situated in the heart of the city, so the transport facilities and availability </t>
  </si>
  <si>
    <t>of employees, raw materials  etc. are  helps  the smooth production the unit. So the unit can easlly</t>
  </si>
  <si>
    <t>reach the targetted turnover financialprojections , loan repayment schedule etc. are annexed .</t>
  </si>
  <si>
    <t>It is assumed that there will be an increase in  sales receipts a good percentage proportion every</t>
  </si>
  <si>
    <t xml:space="preserve">year. The DSCR  averages will be able to repay the bank loan from the income generated  without </t>
  </si>
  <si>
    <t xml:space="preserve">any difficulty.This project is eligible for inclusion under self-employment scheme for educated </t>
  </si>
  <si>
    <t>unemployment youth also.As per the above financial analysis and technical aspects like availability</t>
  </si>
  <si>
    <t xml:space="preserve">of raw materials, availability of skills and opportunity of market, it can  be stated  that, the unit  is </t>
  </si>
  <si>
    <t>technically feasible and financially  viable, it deserves all sorts of  encouragements  to meet the</t>
  </si>
  <si>
    <t xml:space="preserve">repayment schedule out ofthe annual surplus.The unit have an ample  scope and the unit will not </t>
  </si>
  <si>
    <t xml:space="preserve">face any market problem at all,with the innovative ideas of the promoter. So the financial Indicators </t>
  </si>
  <si>
    <t>are positive and will become a successful venture .</t>
  </si>
  <si>
    <t>Promoter.</t>
  </si>
  <si>
    <t xml:space="preserve"> TRADING AND PROFIT AND LOSS ACCOUNT FOR THE YEAR ENDED 31ST MARCH 2019</t>
  </si>
  <si>
    <t>PARTICULARS</t>
  </si>
  <si>
    <t xml:space="preserve">       AMOUNT </t>
  </si>
  <si>
    <t>To Opening stock</t>
  </si>
  <si>
    <t>By  Sales</t>
  </si>
  <si>
    <t xml:space="preserve">" Purchase </t>
  </si>
  <si>
    <t xml:space="preserve">By Closing Stock </t>
  </si>
  <si>
    <t>" Gross profit C/d</t>
  </si>
  <si>
    <t xml:space="preserve">                                         TOTAL</t>
  </si>
  <si>
    <t xml:space="preserve">                                    TOTAL</t>
  </si>
  <si>
    <t>" Gross profit B/d</t>
  </si>
  <si>
    <t>"  Salary&amp; wages</t>
  </si>
  <si>
    <t>"  Electricity charges</t>
  </si>
  <si>
    <t>" Repairs</t>
  </si>
  <si>
    <t>" Transportation</t>
  </si>
  <si>
    <t>" Telephone charges</t>
  </si>
  <si>
    <t xml:space="preserve">Profit to be come </t>
  </si>
  <si>
    <t>" Administrative expense</t>
  </si>
  <si>
    <t>" Printing &amp; stationery</t>
  </si>
  <si>
    <t>" Miscellaneous expense</t>
  </si>
  <si>
    <t>" Depreciation</t>
  </si>
  <si>
    <t xml:space="preserve">" Rent </t>
  </si>
  <si>
    <t>" Net Profit</t>
  </si>
  <si>
    <t xml:space="preserve">                                       TOTAL</t>
  </si>
  <si>
    <t xml:space="preserve">                                   TOTAL</t>
  </si>
  <si>
    <t xml:space="preserve">Proprietor </t>
  </si>
  <si>
    <t xml:space="preserve">                                            BALANCE SHEET AS AT 31ST MARCH 2019</t>
  </si>
  <si>
    <t>LIABILITIES</t>
  </si>
  <si>
    <t>ASSETS</t>
  </si>
  <si>
    <t>FIXED ASSETS</t>
  </si>
  <si>
    <t>CAPITAL ACCOUNT</t>
  </si>
  <si>
    <t xml:space="preserve"> Add : Net profit</t>
  </si>
  <si>
    <t>Less depreciation</t>
  </si>
  <si>
    <t>Less : drawings</t>
  </si>
  <si>
    <t xml:space="preserve">depreciation </t>
  </si>
  <si>
    <t xml:space="preserve">     </t>
  </si>
  <si>
    <t xml:space="preserve">total asset </t>
  </si>
  <si>
    <t xml:space="preserve">SUNDRY CREDITORS </t>
  </si>
  <si>
    <t xml:space="preserve">CLOSING STOCK </t>
  </si>
  <si>
    <t>SUNDRY DEBTORS</t>
  </si>
  <si>
    <t xml:space="preserve">DIFFERENCE </t>
  </si>
  <si>
    <t>CASH AND BANK BALANCES</t>
  </si>
  <si>
    <t xml:space="preserve">CASH- IN- HAND </t>
  </si>
  <si>
    <t xml:space="preserve">                                           TOTAL</t>
  </si>
  <si>
    <t xml:space="preserve">                                                   TOTAL</t>
  </si>
  <si>
    <t>Proprietor</t>
  </si>
  <si>
    <t>CASH IN BANK</t>
  </si>
  <si>
    <t xml:space="preserve">                  ESTIMATED  TRADING AND PROFIT AND LOSS ACCOUNT FOR THE YEAR ENDED 31ST MARCH 2026</t>
  </si>
  <si>
    <t xml:space="preserve">             PARTICULARS</t>
  </si>
  <si>
    <t xml:space="preserve">            PARTICULARS</t>
  </si>
  <si>
    <t>By  Sales Revenue ( Less S. Returns)</t>
  </si>
  <si>
    <t>difference</t>
  </si>
  <si>
    <t>" Purchases (Including GST)</t>
  </si>
  <si>
    <t xml:space="preserve">" Closing Stock </t>
  </si>
  <si>
    <t xml:space="preserve">" Advertisement Charges </t>
  </si>
  <si>
    <t xml:space="preserve">" Bank Interest </t>
  </si>
  <si>
    <t>" GST Paid</t>
  </si>
  <si>
    <t xml:space="preserve">" Cess Paid </t>
  </si>
  <si>
    <t xml:space="preserve">" Audit fee Paid </t>
  </si>
  <si>
    <t>For</t>
  </si>
  <si>
    <t xml:space="preserve">net sales </t>
  </si>
  <si>
    <t xml:space="preserve">                                         ESTIMATED   BALANCE SHEET AS AT 31ST MARCH 2026</t>
  </si>
  <si>
    <t xml:space="preserve">net profit </t>
  </si>
  <si>
    <t>x 100</t>
  </si>
  <si>
    <t xml:space="preserve">net profit margin ratio </t>
  </si>
  <si>
    <t xml:space="preserve">netsales </t>
  </si>
  <si>
    <t>NON CURRENT LIABILITIES</t>
  </si>
  <si>
    <t>Tangible Asset  (Machinary &amp; Tools )</t>
  </si>
  <si>
    <t xml:space="preserve">MACHINERY &amp; FITTINGS </t>
  </si>
  <si>
    <t xml:space="preserve">Asset turn over ratio </t>
  </si>
  <si>
    <t>average of net assets (PREV.YEAR (begingASSET+ current (ending yearsset/2</t>
  </si>
  <si>
    <t xml:space="preserve">Less Depreciation </t>
  </si>
  <si>
    <t>Less : Drawings</t>
  </si>
  <si>
    <t>cogs</t>
  </si>
  <si>
    <t>cost of goods sold  (starting stock+purchase - ending stock)</t>
  </si>
  <si>
    <t xml:space="preserve">invetory  turn over ratio </t>
  </si>
  <si>
    <t>Average inventory (beginig + ending stock/2)</t>
  </si>
  <si>
    <t xml:space="preserve">LONG TERM CURRENT LIABILITIES </t>
  </si>
  <si>
    <t xml:space="preserve">average inventory </t>
  </si>
  <si>
    <t xml:space="preserve">LOANS AND ADVANCES </t>
  </si>
  <si>
    <t>Current Ratio</t>
  </si>
  <si>
    <t xml:space="preserve">TERM LOAN </t>
  </si>
  <si>
    <t xml:space="preserve">Current asset total </t>
  </si>
  <si>
    <t xml:space="preserve">CURRENT ASSETS , LOANS AND ADVANCES </t>
  </si>
  <si>
    <t>Current liabilty  total</t>
  </si>
  <si>
    <t xml:space="preserve">CASH CREDIT </t>
  </si>
  <si>
    <t xml:space="preserve">QUICK RATIO </t>
  </si>
  <si>
    <t>CASH+ DRS+ INVENTORY</t>
  </si>
  <si>
    <t>CASH+ DRS+ INVENTORY =</t>
  </si>
  <si>
    <t xml:space="preserve">CURRENT LIABILITY </t>
  </si>
  <si>
    <r>
      <rPr>
        <sz val="12"/>
        <color theme="1"/>
        <rFont val="Arial"/>
        <charset val="134"/>
      </rPr>
      <t>TRADE RECEIEVABLES</t>
    </r>
    <r>
      <rPr>
        <sz val="11"/>
        <color indexed="8"/>
        <rFont val="Arial"/>
        <charset val="134"/>
      </rPr>
      <t>(SUNDRY DEBTORS)</t>
    </r>
  </si>
  <si>
    <t xml:space="preserve">DEFERRED TAX LIABILITIES  </t>
  </si>
  <si>
    <t xml:space="preserve">CASH IN HAND </t>
  </si>
  <si>
    <t>debt to total asset</t>
  </si>
  <si>
    <t>trade payable+misc payable +mortgage</t>
  </si>
  <si>
    <t xml:space="preserve">OTHER  CURRENT LIABILITIES </t>
  </si>
  <si>
    <t xml:space="preserve">CASH IN BANK </t>
  </si>
  <si>
    <r>
      <rPr>
        <sz val="12"/>
        <rFont val="Arial"/>
        <charset val="134"/>
      </rPr>
      <t>TRADE PAYABLES</t>
    </r>
    <r>
      <rPr>
        <sz val="11"/>
        <rFont val="Arial"/>
        <charset val="134"/>
      </rPr>
      <t>( SUNDRY CREDITORS )</t>
    </r>
  </si>
  <si>
    <t xml:space="preserve">Debt equity Ratio </t>
  </si>
  <si>
    <t xml:space="preserve">total  short term and long term  debt </t>
  </si>
  <si>
    <t xml:space="preserve">SHORT TERM PROVISIONS </t>
  </si>
  <si>
    <t>stock+ reseve&amp; surplus</t>
  </si>
  <si>
    <t>ELECTRCITY CHARGES PAYABLE</t>
  </si>
  <si>
    <t>TELEPHONE&amp; INTERNET  CHARGES PAYABLE</t>
  </si>
  <si>
    <t xml:space="preserve">GST &amp; CESS  PAYABLE </t>
  </si>
  <si>
    <t xml:space="preserve">sales </t>
  </si>
  <si>
    <t>AUDIT FEE &amp; LEGAL CHARGES PAYABLE</t>
  </si>
  <si>
    <t xml:space="preserve">working capital ratio </t>
  </si>
  <si>
    <t xml:space="preserve">working capital </t>
  </si>
  <si>
    <t xml:space="preserve">working capital = current assets - current iabilties </t>
  </si>
  <si>
    <t>PROJECTED  TRADING AND PROFIT AND LOSS ACCOUNT FOR THE YEAR ENDED 31ST MARCH 2027</t>
  </si>
  <si>
    <t xml:space="preserve">                    PARTICULARS</t>
  </si>
  <si>
    <t xml:space="preserve">                                         PROJECTED   BALANCE SHEET AS AT 31ST MARCH 2027</t>
  </si>
  <si>
    <r>
      <rPr>
        <sz val="12"/>
        <color theme="1"/>
        <rFont val="Arial"/>
        <charset val="134"/>
      </rPr>
      <t>TRADE RECIEVABLES</t>
    </r>
    <r>
      <rPr>
        <sz val="11"/>
        <color indexed="8"/>
        <rFont val="Arial"/>
        <charset val="134"/>
      </rPr>
      <t>(SUNDRY DEBTORS)</t>
    </r>
  </si>
  <si>
    <t>SUNDRY CREDITORS</t>
  </si>
  <si>
    <t>SHORT TERM PROVISIONS</t>
  </si>
  <si>
    <t xml:space="preserve">GST PAYABLE </t>
  </si>
  <si>
    <t>PROJECTED  TRADING AND PROFIT AND LOSS ACCOUNT FOR THE YEAR ENDED 31ST MARCH 2028</t>
  </si>
  <si>
    <t xml:space="preserve">                PARTICULARS</t>
  </si>
  <si>
    <t>.</t>
  </si>
  <si>
    <t xml:space="preserve">Difference </t>
  </si>
  <si>
    <t xml:space="preserve">                                         PROJECTED   BALANCE SHEET AS AT 31ST MARCH 2028</t>
  </si>
  <si>
    <t xml:space="preserve">Invetory  turn over ratio </t>
  </si>
  <si>
    <t>Debt to total asset</t>
  </si>
  <si>
    <t>PROJECTED  TRADING AND PROFIT AND LOSS ACCOUNT FOR THE YEAR ENDED 31ST MARCH 2029</t>
  </si>
  <si>
    <t xml:space="preserve">    </t>
  </si>
  <si>
    <t xml:space="preserve">              PARTICULARS</t>
  </si>
  <si>
    <t xml:space="preserve">        PARTICULARS</t>
  </si>
  <si>
    <t xml:space="preserve">                                         PROJECTED   BALANCE SHEET AS AT 31ST MARCH 2029</t>
  </si>
  <si>
    <t>PROJECTED  TRADING AND PROFIT AND LOSS ACCOUNT FOR THE YEAR ENDED 31ST MARCH 2030</t>
  </si>
  <si>
    <t xml:space="preserve">difference </t>
  </si>
  <si>
    <t xml:space="preserve">                                         PROJECTED   BALANCE SHEET AS AT 31ST MARCH 2030</t>
  </si>
  <si>
    <t>TELEPHONE &amp; INTERNET  CHARGES PAYABLE</t>
  </si>
  <si>
    <t xml:space="preserve">AJI </t>
  </si>
  <si>
    <t xml:space="preserve">                             DEPRECIATION SCHEDULE OF FIXED ASSET  AS ON 31-03-2024</t>
  </si>
  <si>
    <t xml:space="preserve">              PARTICULARS </t>
  </si>
  <si>
    <t>Rs. Ps.</t>
  </si>
  <si>
    <t xml:space="preserve">Less: Depreciation Written off </t>
  </si>
  <si>
    <t>Less: Depreciation Written off</t>
  </si>
  <si>
    <t xml:space="preserve">                             DEPRECIATION SCHEDULE OF FIXED ASSET  AS ON 31-03-2025</t>
  </si>
  <si>
    <t xml:space="preserve">                             DEPRECIATION SCHEDULE OF FIXED ASSET  AS ON 31-03-2026</t>
  </si>
  <si>
    <t xml:space="preserve">                             DEPRECIATION SCHEDULE OF FIXED ASSET  AS ON 31-03-2027</t>
  </si>
  <si>
    <t xml:space="preserve">                             DEPRECIATION SCHEDULE OF FIXED ASSET  AS ON 31-03-2028</t>
  </si>
  <si>
    <t xml:space="preserve">                  LOAN APPLICATION FORM MSME LOAN UPTO 50 LAKH </t>
  </si>
  <si>
    <t xml:space="preserve">          (To be submitted along with documents as per the checklist)</t>
  </si>
  <si>
    <t>A. For office Use:</t>
  </si>
  <si>
    <t xml:space="preserve">          Enterprise Name</t>
  </si>
  <si>
    <t xml:space="preserve"> Application Sl. No.</t>
  </si>
  <si>
    <t xml:space="preserve"> Name of the Branch</t>
  </si>
  <si>
    <t xml:space="preserve">         Category</t>
  </si>
  <si>
    <t>Shishu/Kishor/Tarun</t>
  </si>
  <si>
    <t>B.Business Information:</t>
  </si>
  <si>
    <t>Name of Enterprise</t>
  </si>
  <si>
    <t xml:space="preserve">Constitution            I √ </t>
  </si>
  <si>
    <t>Proprietary</t>
  </si>
  <si>
    <t>Partnership</t>
  </si>
  <si>
    <t>Pvt. Ltd.</t>
  </si>
  <si>
    <t>Ltd. Company</t>
  </si>
  <si>
    <t xml:space="preserve">                             Any Others (specify)</t>
  </si>
  <si>
    <t xml:space="preserve">Current </t>
  </si>
  <si>
    <t xml:space="preserve">Business </t>
  </si>
  <si>
    <t>Adress</t>
  </si>
  <si>
    <t>State</t>
  </si>
  <si>
    <t>KERALA</t>
  </si>
  <si>
    <t>PIN Code</t>
  </si>
  <si>
    <t>Business Premises</t>
  </si>
  <si>
    <t>√</t>
  </si>
  <si>
    <t>Rented</t>
  </si>
  <si>
    <t>Owned</t>
  </si>
  <si>
    <t>Leased</t>
  </si>
  <si>
    <t xml:space="preserve">Adress Of the </t>
  </si>
  <si>
    <t>Factory/Shop/</t>
  </si>
  <si>
    <t>Business</t>
  </si>
  <si>
    <t>Telephone No.</t>
  </si>
  <si>
    <t>Mobile  No.</t>
  </si>
  <si>
    <t>Email ID</t>
  </si>
  <si>
    <t>Existing</t>
  </si>
  <si>
    <t>Activity</t>
  </si>
  <si>
    <t>Proposed</t>
  </si>
  <si>
    <t>Date of Commencement(DD/MM/YYYY</t>
  </si>
  <si>
    <t>Whether the Unit is Registered</t>
  </si>
  <si>
    <t>Yes</t>
  </si>
  <si>
    <t>No</t>
  </si>
  <si>
    <t>If Registered (Please mention:Registration</t>
  </si>
  <si>
    <t>no. And the Act under which registered )</t>
  </si>
  <si>
    <t>Registered office Address</t>
  </si>
  <si>
    <t xml:space="preserve">SAME S ABOVE </t>
  </si>
  <si>
    <t>Social Category</t>
  </si>
  <si>
    <t xml:space="preserve">          √</t>
  </si>
  <si>
    <t xml:space="preserve">SC </t>
  </si>
  <si>
    <t>ST</t>
  </si>
  <si>
    <t>OBC</t>
  </si>
  <si>
    <t>Minority</t>
  </si>
  <si>
    <t>General</t>
  </si>
  <si>
    <t>If MinorityCommunity           √</t>
  </si>
  <si>
    <t xml:space="preserve">Budhist </t>
  </si>
  <si>
    <t xml:space="preserve">Muslims </t>
  </si>
  <si>
    <t>Christians</t>
  </si>
  <si>
    <t xml:space="preserve"> Sikhs </t>
  </si>
  <si>
    <t xml:space="preserve"> Jains </t>
  </si>
  <si>
    <t>Zoroastrians</t>
  </si>
  <si>
    <t>C.Background Information of Proprietor/ Partners/ Directors:</t>
  </si>
  <si>
    <t>S.No</t>
  </si>
  <si>
    <t>Name</t>
  </si>
  <si>
    <t>Date of
Birth</t>
  </si>
  <si>
    <t>Sex</t>
  </si>
  <si>
    <t>Residential
Address with
Mobile No.</t>
  </si>
  <si>
    <t xml:space="preserve">Academic
qualification 
</t>
  </si>
  <si>
    <t>Experience in
the line of
activity(Years)</t>
  </si>
  <si>
    <t>1.</t>
  </si>
  <si>
    <t xml:space="preserve">6 YEARS </t>
  </si>
  <si>
    <t>2.</t>
  </si>
  <si>
    <t>Id proof no.</t>
  </si>
  <si>
    <t>Id proof</t>
  </si>
  <si>
    <t>Address
proof</t>
  </si>
  <si>
    <t>PAN
Card/DIN No.</t>
  </si>
  <si>
    <t>Relationship with the
officials/ Director of the
bank if any</t>
  </si>
  <si>
    <t>NA</t>
  </si>
  <si>
    <t>D. Names of Associate Concerns and Nature of Association</t>
  </si>
  <si>
    <t>Names of
Associate
Concern</t>
  </si>
  <si>
    <t>Address of
Associate
Concern</t>
  </si>
  <si>
    <t>Presently
Banking with</t>
  </si>
  <si>
    <t>Nature of
Association
Concern</t>
  </si>
  <si>
    <t>Extent of Interest as a
Prop./Partner/ Director or Just
Investor in Associate Concern</t>
  </si>
  <si>
    <t>E. Banking/Credit Facilities Existing: (In Rs.)</t>
  </si>
  <si>
    <t>Type of
Facilities</t>
  </si>
  <si>
    <t>Limit
Availed</t>
  </si>
  <si>
    <t>Outstanding
As on ……</t>
  </si>
  <si>
    <t>Security
lodged</t>
  </si>
  <si>
    <t>Asset
classification
status</t>
  </si>
  <si>
    <t xml:space="preserve">Savings Account </t>
  </si>
  <si>
    <t xml:space="preserve">N. A. </t>
  </si>
  <si>
    <t xml:space="preserve">Current Account </t>
  </si>
  <si>
    <t>Cash Credit</t>
  </si>
  <si>
    <t>Term Loan</t>
  </si>
  <si>
    <t>LC/BG</t>
  </si>
  <si>
    <t>If banking with this bank, customer ID to be given here:</t>
  </si>
  <si>
    <t>It is certified that our unit has not availed any loan from any other Bank / Financial Institution in the
past and I/we am/are not indebted to any other Bank / Financial Institution other than those
mentioned in column no. E above.</t>
  </si>
  <si>
    <t>F. Credit Facilities Proposed:(In Rs.)</t>
  </si>
  <si>
    <t>Type of Facilities</t>
  </si>
  <si>
    <t>Amount</t>
  </si>
  <si>
    <t>Purpose for which
Required</t>
  </si>
  <si>
    <t>Details of Primary Security Offered
(with approx. value to be mentioned)</t>
  </si>
  <si>
    <t>G.In case of Working Capital: Basis of CashCredit Limit applied:(In Rs.)</t>
  </si>
  <si>
    <t>Actual Sales</t>
  </si>
  <si>
    <t>Projected</t>
  </si>
  <si>
    <t>FY-         FY-</t>
  </si>
  <si>
    <t>Sales</t>
  </si>
  <si>
    <t>Working
Cycle in
Months</t>
  </si>
  <si>
    <t>Inventory</t>
  </si>
  <si>
    <t>Debtors</t>
  </si>
  <si>
    <t>Creditors</t>
  </si>
  <si>
    <t>Promoter’s
Contribution</t>
  </si>
  <si>
    <t>Limits</t>
  </si>
  <si>
    <t>H. In case of Term loan requirements, the details of machinery/equipment may be given as under:</t>
  </si>
  <si>
    <t>Type of
machine
/ Equipment</t>
  </si>
  <si>
    <t>Purpose
for which
required</t>
  </si>
  <si>
    <t>Name of
Supplier</t>
  </si>
  <si>
    <t>Total Cost of
Machine</t>
  </si>
  <si>
    <t>Contribution being
made by the
promoters(Rs.)</t>
  </si>
  <si>
    <t>Loan Required
(Rs.)</t>
  </si>
  <si>
    <t>Repayment period with Moratorium period requested for</t>
  </si>
  <si>
    <t xml:space="preserve">MORATORIUM </t>
  </si>
  <si>
    <t>3 MONTHS +</t>
  </si>
  <si>
    <t>MONTHS</t>
  </si>
  <si>
    <t>I. Past Performance / Future Estimates: (In Rs.)</t>
  </si>
  <si>
    <t>Past Performance / Future Estimates (Actual performance for two previous years, estimates for
current year and projections for next year to be provided for working capital facilities. However for
term loan facilities projections to be provided till the proposed year of repayment of loan)</t>
  </si>
  <si>
    <t>Past Year-II
(Actual)</t>
  </si>
  <si>
    <t>Past Year-I
(Actual)</t>
  </si>
  <si>
    <t>Present Year
(Estimate)</t>
  </si>
  <si>
    <t>Next Year (Projection)</t>
  </si>
  <si>
    <t>Net Sales</t>
  </si>
  <si>
    <t>Net Profit</t>
  </si>
  <si>
    <t xml:space="preserve">Capital (Net
Worth in case of(Companies)
</t>
  </si>
  <si>
    <t>J. Status Regarding Statutory Obligations:</t>
  </si>
  <si>
    <t>Statutory Obligations</t>
  </si>
  <si>
    <t>Whether
Complied with
(select Yes/No)
If not applicable
then select N. A.</t>
  </si>
  <si>
    <t xml:space="preserve">Remarks
(Any details in
connection withthe
relevant obligation to be
given ) </t>
  </si>
  <si>
    <t>1. Registration under Shops and Establishment Act</t>
  </si>
  <si>
    <t>YES</t>
  </si>
  <si>
    <t>2. Registration under MSME (Provisional /Final)</t>
  </si>
  <si>
    <t>3. Drug License</t>
  </si>
  <si>
    <t>4. Latest Sales Tax Return Filed</t>
  </si>
  <si>
    <t>5.Latest Income Tax Returns Filed</t>
  </si>
  <si>
    <t>6.Any other Statutory dues remaining outstanding</t>
  </si>
  <si>
    <t>K. Declaration:</t>
  </si>
  <si>
    <t>I/We hereby certify that all information furnished by me/us is true, correct and complete. I/We have no borrowing arrangements</t>
  </si>
  <si>
    <t xml:space="preserve"> for the unit except as indicated in the application form. There is/are no overdue / statutory dueowed by me/us.</t>
  </si>
  <si>
    <t xml:space="preserve"> I/We shall furnish all other information that may be required by Bank in connection with my/our application. The information may </t>
  </si>
  <si>
    <t xml:space="preserve">also be exchanged by you with any agency you may deem fit. You, your representatives or Reserve Bank of India or Mudra Ltd., </t>
  </si>
  <si>
    <t>or any other agency as authorised by you, may at any time, inspect/ verify my/our assets, books of accounts etc. in our factory/</t>
  </si>
  <si>
    <t>business  premises as given above. You may take appropriate safeguards/action forrecovery of bank’s dues.</t>
  </si>
  <si>
    <t>Space for Photo</t>
  </si>
  <si>
    <t>(Signatures of Proprietor/partner/ director whose photo is affixed above)</t>
  </si>
  <si>
    <t>Date:</t>
  </si>
  <si>
    <t>Place:</t>
  </si>
  <si>
    <t>CHECK LIST: (The check list is only indicative and not exhaustive and depending upon the</t>
  </si>
  <si>
    <t>local requirements at different places addition could be made as per necessity)</t>
  </si>
  <si>
    <t>1) Proof of identity - Self certified copy of Voter’s ID card / Driving License / PAN Card /</t>
  </si>
  <si>
    <t>Aadhar Card/Passport.</t>
  </si>
  <si>
    <t>2) Proof of Residence - Recent telephone bill, electricity bill, property tax receipt (not older than 2</t>
  </si>
  <si>
    <t>months), Voter’s ID card, Aadhar Card &amp; Passport of Proprietor/Partners/Directors.</t>
  </si>
  <si>
    <t>3) Proof of SC/ST/OBC/Minority.</t>
  </si>
  <si>
    <t>4) Proof of Identity/Address of the Business Enterprise -Copies of relevant licenses/registration</t>
  </si>
  <si>
    <t>certificates/other documents pertaining to the ownership, identity and address of business unit.</t>
  </si>
  <si>
    <t>5) Applicant should not be defaulter in any Bank/Financial institution.</t>
  </si>
  <si>
    <t>6) Statement of accounts (for the last six months), from the existing banker, if any.</t>
  </si>
  <si>
    <t>7) Last two years balance sheets of the units along with income tax/sales tax return etc.</t>
  </si>
  <si>
    <t>(Applicable for all cases from Rs.2 Lacs and above).</t>
  </si>
  <si>
    <t>8) Projected balance sheets for one year in case of working capital limits and for the period of the</t>
  </si>
  <si>
    <t>loan in case of term loan (Applicable for all cases from Rs.2 Lacs and above).</t>
  </si>
  <si>
    <t>9) Sales achieved during the current financial year up to the date of submission of application.</t>
  </si>
  <si>
    <t>10) Project report (for the proposed project) containing details of technical &amp; economic viability.</t>
  </si>
  <si>
    <t>11) Memorandum and articles of association of the company/Partnership Deed of Partners etc.</t>
  </si>
  <si>
    <t>12) In absence of third party guarantee, Asset &amp; Liability statement from the borrower including</t>
  </si>
  <si>
    <t>Directors&amp; Partners may be sought to know the net-worth.</t>
  </si>
  <si>
    <t>13) Photos (two copies) of Proprietor/ Partners/ Directors.</t>
  </si>
  <si>
    <t xml:space="preserve">LA BELLE BOUTIQUE </t>
  </si>
  <si>
    <t>CITY CENTER, OPP ST. MARYS GHS SCHOOL PAYYANUR.</t>
  </si>
  <si>
    <t>Mob: 9895305797</t>
  </si>
  <si>
    <r>
      <rPr>
        <b/>
        <sz val="11"/>
        <rFont val="Arial"/>
        <charset val="134"/>
      </rPr>
      <t xml:space="preserve">  </t>
    </r>
    <r>
      <rPr>
        <sz val="11"/>
        <rFont val="Arial"/>
        <charset val="134"/>
      </rPr>
      <t xml:space="preserve">32BEIPT 9737A1ZE          </t>
    </r>
    <r>
      <rPr>
        <b/>
        <sz val="11"/>
        <rFont val="Arial"/>
        <charset val="134"/>
      </rPr>
      <t xml:space="preserve">       </t>
    </r>
    <r>
      <rPr>
        <b/>
        <sz val="13"/>
        <rFont val="Arial"/>
        <charset val="134"/>
      </rPr>
      <t xml:space="preserve">  </t>
    </r>
    <r>
      <rPr>
        <b/>
        <i/>
        <u/>
        <sz val="13"/>
        <rFont val="Arial"/>
        <charset val="134"/>
      </rPr>
      <t xml:space="preserve"> QOUTATION </t>
    </r>
  </si>
  <si>
    <t xml:space="preserve">                </t>
  </si>
  <si>
    <t>To</t>
  </si>
  <si>
    <t xml:space="preserve">Mr. Rameshan </t>
  </si>
  <si>
    <t>No.       :</t>
  </si>
  <si>
    <t>ROOTS BEAUTY SPA</t>
  </si>
  <si>
    <t>Date    :</t>
  </si>
  <si>
    <t xml:space="preserve">WOODYZ TOWER , KANHANGAD </t>
  </si>
  <si>
    <t>S.No.</t>
  </si>
  <si>
    <t xml:space="preserve">DESCRIPTION </t>
  </si>
  <si>
    <t>RAAGA PB SPA 4HEAD NOURISHMENT CREAM BATH 750 ML</t>
  </si>
  <si>
    <t>RAAGA ECO PAK WITH PILY SKIN 200M</t>
  </si>
  <si>
    <t>RAAGA STEMCELLS PLATINUM FACIAL KIT 61G</t>
  </si>
  <si>
    <t>RAAGA PROF STEMCELLS FAIRNESS KIT 61G</t>
  </si>
  <si>
    <t>RAGA PROF STEMCELLS ANTICANE FACIAL KIT 61G</t>
  </si>
  <si>
    <t>RAAGA PEDI MENI ALOVERA 63GM</t>
  </si>
  <si>
    <t>RAAGA LS WAX ALOVERA 800ML</t>
  </si>
  <si>
    <t>RAAGA PB CLR PROTECT SHAMPOO &amp;CONDITIONER 1000ML</t>
  </si>
  <si>
    <t>SCHWARZKOPF GLATT STRAIGHTENER AND NEUTRALIZING BALM</t>
  </si>
  <si>
    <t xml:space="preserve">SCHWARZKOPF SCALP GENESIS PURIFYING SHAMPOO </t>
  </si>
  <si>
    <t xml:space="preserve">SHAHNAZ GOLD SKIN RADIANCE KIT </t>
  </si>
  <si>
    <t xml:space="preserve">SHAHNAZ GOLD PLUS SKIN RADIANCE GEL </t>
  </si>
  <si>
    <t>SHAHNAZ GOLD PLUS BEAUTIFYING MASK 200GM</t>
  </si>
  <si>
    <t>NATURES PAPPAYA KIT 400GM</t>
  </si>
  <si>
    <t>VEGA VHBT -01 SILKY</t>
  </si>
  <si>
    <t>NANDINI HERBAL MENICURE PEDICURE 1200G</t>
  </si>
  <si>
    <t>CAVIN CARE FYNE 5 LTR</t>
  </si>
  <si>
    <t>RAAGA DE TAN CREAM 500GM</t>
  </si>
  <si>
    <t>LOREAL AOX VITAMINO COLOR MASK 250ML</t>
  </si>
  <si>
    <t xml:space="preserve">LOREAL XTENSO STRAIGHTENING KIT </t>
  </si>
  <si>
    <t>SCHWARZKOPF REPAIR RESCUE TREATMENT MASK 200ML</t>
  </si>
  <si>
    <t>STREAX CANVO LINE HAIR STRAIGHTENING CREAM INTENSIVE</t>
  </si>
  <si>
    <t>KRONE PRE - LIGHTENING POWDER 400GM</t>
  </si>
  <si>
    <t>KRONE SH BN STN RDUC CREAM INTNS 500ML</t>
  </si>
  <si>
    <t>KRONE SHIN BND STIRIN SHAMPOO 1000ML</t>
  </si>
  <si>
    <t>RAAGA LS METALIC GOLD WAX 800ML</t>
  </si>
  <si>
    <t>RICH FEEL ORANGE ALMOND SCRUB 500GM</t>
  </si>
  <si>
    <t>LOREAL MYTHICOIL MASK 200ML</t>
  </si>
  <si>
    <t>NATURES RAVISHING DIAMOND SERUM (OXY MILK )500ML</t>
  </si>
  <si>
    <t>VLCC PLATINUM KIT</t>
  </si>
  <si>
    <t>LOTUS RADIANT PLATINUM 1550</t>
  </si>
  <si>
    <t>CALEO DIAMOND SPA FACIAL KIT 280 ML</t>
  </si>
  <si>
    <t>GST @18%</t>
  </si>
  <si>
    <t xml:space="preserve">Grand Total </t>
  </si>
  <si>
    <t>E&amp;OE</t>
  </si>
  <si>
    <t>(Rupees  Seven Lakh Sixty Two Thousand Sevenhundred and Sixty Seven Only)</t>
  </si>
  <si>
    <t xml:space="preserve">Authorised Signatory </t>
  </si>
  <si>
    <t>total</t>
  </si>
  <si>
    <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</si>
</sst>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43" formatCode="_ * #,##0.00_ ;_ * \-#,##0.00_ ;_ * &quot;-&quot;??_ ;_ @_ "/>
    <numFmt numFmtId="164" formatCode="_(* #,##0.00_);_(* \(#,##0.00\);_(* &quot;-&quot;??_);_(@_)"/>
    <numFmt numFmtId="167" formatCode="_(* #,##0_);_(* \(#,##0\);_(* &quot;-&quot;_);_(@_)"/>
    <numFmt numFmtId="168" formatCode="dd/mm/yyyy;@"/>
    <numFmt numFmtId="169" formatCode="m/d/yy;@"/>
    <numFmt numFmtId="170" formatCode="_ * #,##0.0000_ ;_ * \-#,##0.0000_ ;_ * &quot;-&quot;????_ ;_ @_ "/>
    <numFmt numFmtId="171" formatCode="_(* #,##0_);_(* \(#,##0\);_(* &quot;-&quot;??_);_(@_)"/>
    <numFmt numFmtId="172" formatCode="[$-14009]dd/mm/yyyy;@"/>
  </numFmts>
  <fonts count="174">
    <font>
      <sz val="10"/>
      <name val="Arial"/>
      <charset val="134"/>
    </font>
    <font>
      <sz val="28"/>
      <color rgb="FFFF0000"/>
      <name val="Bernard MT Condensed"/>
      <charset val="134"/>
    </font>
    <font>
      <b/>
      <sz val="10"/>
      <color rgb="FF0070C0"/>
      <name val="Arial"/>
      <charset val="134"/>
    </font>
    <font>
      <sz val="10"/>
      <color rgb="FF0070C0"/>
      <name val="Arial"/>
      <charset val="134"/>
    </font>
    <font>
      <b/>
      <sz val="11"/>
      <name val="Arial"/>
      <charset val="134"/>
    </font>
    <font>
      <b/>
      <i/>
      <sz val="12"/>
      <name val="Arial"/>
      <charset val="134"/>
    </font>
    <font>
      <b/>
      <sz val="12"/>
      <name val="Arial"/>
      <charset val="134"/>
    </font>
    <font>
      <sz val="12"/>
      <name val="Arial"/>
      <charset val="134"/>
    </font>
    <font>
      <b/>
      <sz val="10"/>
      <name val="Arial"/>
      <charset val="134"/>
    </font>
    <font>
      <sz val="8"/>
      <name val="Arial"/>
      <charset val="134"/>
    </font>
    <font>
      <i/>
      <sz val="10"/>
      <name val="Arial"/>
      <charset val="134"/>
    </font>
    <font>
      <sz val="10"/>
      <name val="Calibri"/>
      <charset val="134"/>
      <scheme val="minor"/>
    </font>
    <font>
      <sz val="12"/>
      <name val="Calibri"/>
      <charset val="134"/>
      <scheme val="minor"/>
    </font>
    <font>
      <b/>
      <sz val="12"/>
      <color theme="1"/>
      <name val="Arial"/>
      <charset val="134"/>
    </font>
    <font>
      <sz val="12"/>
      <color theme="1"/>
      <name val="Arial"/>
      <charset val="134"/>
    </font>
    <font>
      <b/>
      <sz val="13"/>
      <name val="Arial"/>
      <charset val="134"/>
    </font>
    <font>
      <sz val="5"/>
      <name val="Arial"/>
      <charset val="134"/>
    </font>
    <font>
      <sz val="7"/>
      <name val="Arial"/>
      <charset val="134"/>
    </font>
    <font>
      <b/>
      <i/>
      <sz val="12"/>
      <color theme="1"/>
      <name val="Arial"/>
      <charset val="134"/>
    </font>
    <font>
      <b/>
      <u/>
      <sz val="12"/>
      <name val="Arial"/>
      <charset val="134"/>
    </font>
    <font>
      <sz val="10.5"/>
      <name val="Arial"/>
      <charset val="134"/>
    </font>
    <font>
      <b/>
      <sz val="10.5"/>
      <name val="Arial"/>
      <charset val="134"/>
    </font>
    <font>
      <sz val="11"/>
      <name val="Arial"/>
      <charset val="134"/>
    </font>
    <font>
      <sz val="10"/>
      <color rgb="FFFF0000"/>
      <name val="Arial"/>
      <charset val="134"/>
    </font>
    <font>
      <b/>
      <sz val="12"/>
      <color rgb="FFFF0000"/>
      <name val="Arial "/>
      <charset val="134"/>
    </font>
    <font>
      <sz val="12"/>
      <color rgb="FFFF0000"/>
      <name val="Arial "/>
      <charset val="134"/>
    </font>
    <font>
      <u/>
      <sz val="12"/>
      <color rgb="FFFF0000"/>
      <name val="Arial "/>
      <charset val="134"/>
    </font>
    <font>
      <sz val="12"/>
      <color rgb="FFFF0000"/>
      <name val="Arial"/>
      <charset val="134"/>
    </font>
    <font>
      <b/>
      <u/>
      <sz val="12"/>
      <color rgb="FFFF0000"/>
      <name val="Arial"/>
      <charset val="134"/>
    </font>
    <font>
      <b/>
      <sz val="12"/>
      <color rgb="FFFF0000"/>
      <name val="Arial"/>
      <charset val="134"/>
    </font>
    <font>
      <u val="singleAccounting"/>
      <sz val="12"/>
      <color rgb="FFFF0000"/>
      <name val="Arial"/>
      <charset val="134"/>
    </font>
    <font>
      <u val="singleAccounting"/>
      <sz val="12"/>
      <color rgb="FFFF0000"/>
      <name val="Arial "/>
      <charset val="134"/>
    </font>
    <font>
      <sz val="11"/>
      <color rgb="FFFF0000"/>
      <name val="Arial"/>
      <charset val="134"/>
    </font>
    <font>
      <b/>
      <sz val="16"/>
      <name val="Arial"/>
      <charset val="134"/>
    </font>
    <font>
      <b/>
      <sz val="12"/>
      <name val="Arial "/>
      <charset val="134"/>
    </font>
    <font>
      <b/>
      <sz val="13"/>
      <name val="Arial "/>
      <charset val="134"/>
    </font>
    <font>
      <b/>
      <sz val="11"/>
      <name val="Arial "/>
      <charset val="134"/>
    </font>
    <font>
      <b/>
      <sz val="12"/>
      <color theme="1"/>
      <name val="Arial "/>
      <charset val="134"/>
    </font>
    <font>
      <sz val="12"/>
      <color theme="1"/>
      <name val="Arial "/>
      <charset val="134"/>
    </font>
    <font>
      <u/>
      <sz val="12"/>
      <color theme="1"/>
      <name val="Arial "/>
      <charset val="134"/>
    </font>
    <font>
      <b/>
      <sz val="12"/>
      <color rgb="FF7030A0"/>
      <name val="Arial "/>
      <charset val="134"/>
    </font>
    <font>
      <b/>
      <sz val="12"/>
      <color rgb="FF7030A0"/>
      <name val="Arial"/>
      <charset val="134"/>
    </font>
    <font>
      <b/>
      <sz val="10"/>
      <color rgb="FF7030A0"/>
      <name val="Arial"/>
      <charset val="134"/>
    </font>
    <font>
      <sz val="12"/>
      <color theme="5"/>
      <name val="Arial"/>
      <charset val="134"/>
    </font>
    <font>
      <b/>
      <sz val="8"/>
      <name val="Arial "/>
      <charset val="134"/>
    </font>
    <font>
      <b/>
      <u/>
      <sz val="12"/>
      <color theme="1"/>
      <name val="Arial"/>
      <charset val="134"/>
    </font>
    <font>
      <u val="singleAccounting"/>
      <sz val="12"/>
      <color theme="1"/>
      <name val="Arial"/>
      <charset val="134"/>
    </font>
    <font>
      <sz val="12"/>
      <color theme="0"/>
      <name val="Arial "/>
      <charset val="134"/>
    </font>
    <font>
      <b/>
      <sz val="12"/>
      <color theme="0"/>
      <name val="Arial "/>
      <charset val="134"/>
    </font>
    <font>
      <u val="singleAccounting"/>
      <sz val="12"/>
      <name val="Arial"/>
      <charset val="134"/>
    </font>
    <font>
      <u val="singleAccounting"/>
      <sz val="12"/>
      <color theme="1"/>
      <name val="Arial "/>
      <charset val="134"/>
    </font>
    <font>
      <b/>
      <u val="singleAccounting"/>
      <sz val="12"/>
      <name val="Arial"/>
      <charset val="134"/>
    </font>
    <font>
      <u/>
      <sz val="12"/>
      <color theme="1"/>
      <name val="Arial"/>
      <charset val="134"/>
    </font>
    <font>
      <u/>
      <sz val="12"/>
      <name val="Arial"/>
      <charset val="134"/>
    </font>
    <font>
      <sz val="12"/>
      <name val="Arial "/>
      <charset val="134"/>
    </font>
    <font>
      <b/>
      <sz val="13"/>
      <color theme="1"/>
      <name val="Arial"/>
      <charset val="134"/>
    </font>
    <font>
      <b/>
      <u/>
      <sz val="12"/>
      <color theme="1"/>
      <name val="Arial "/>
      <charset val="134"/>
    </font>
    <font>
      <u/>
      <sz val="11"/>
      <color theme="1"/>
      <name val="Arial"/>
      <charset val="134"/>
    </font>
    <font>
      <b/>
      <sz val="13"/>
      <color theme="1"/>
      <name val="Arial "/>
      <charset val="134"/>
    </font>
    <font>
      <b/>
      <u val="singleAccounting"/>
      <sz val="12"/>
      <color theme="1"/>
      <name val="Arial"/>
      <charset val="134"/>
    </font>
    <font>
      <b/>
      <u val="singleAccounting"/>
      <sz val="12"/>
      <color theme="1"/>
      <name val="Arial "/>
      <charset val="134"/>
    </font>
    <font>
      <u val="singleAccounting"/>
      <sz val="11"/>
      <color theme="1"/>
      <name val="Arial "/>
      <charset val="134"/>
    </font>
    <font>
      <b/>
      <sz val="10"/>
      <color rgb="FFFF0000"/>
      <name val="Arial"/>
      <charset val="134"/>
    </font>
    <font>
      <sz val="10"/>
      <color rgb="FF00B0F0"/>
      <name val="Arial"/>
      <charset val="134"/>
    </font>
    <font>
      <sz val="10"/>
      <color theme="0"/>
      <name val="Arial"/>
      <charset val="134"/>
    </font>
    <font>
      <sz val="14"/>
      <name val="Arial"/>
      <charset val="134"/>
    </font>
    <font>
      <sz val="14"/>
      <color theme="0"/>
      <name val="Arial"/>
      <charset val="134"/>
    </font>
    <font>
      <b/>
      <sz val="14"/>
      <name val="Century"/>
      <charset val="134"/>
    </font>
    <font>
      <sz val="14"/>
      <color rgb="FF00B0F0"/>
      <name val="Arial"/>
      <charset val="134"/>
    </font>
    <font>
      <sz val="14"/>
      <name val="Century"/>
      <charset val="134"/>
    </font>
    <font>
      <sz val="12"/>
      <color theme="1"/>
      <name val="Century"/>
      <charset val="134"/>
    </font>
    <font>
      <sz val="14"/>
      <color theme="1"/>
      <name val="Century"/>
      <charset val="134"/>
    </font>
    <font>
      <sz val="11"/>
      <color theme="1"/>
      <name val="Century"/>
      <charset val="134"/>
    </font>
    <font>
      <b/>
      <sz val="14"/>
      <name val="Arial"/>
      <charset val="134"/>
    </font>
    <font>
      <b/>
      <sz val="14"/>
      <color theme="0"/>
      <name val="Arial"/>
      <charset val="134"/>
    </font>
    <font>
      <b/>
      <sz val="14"/>
      <color theme="1"/>
      <name val="Century"/>
      <charset val="134"/>
    </font>
    <font>
      <sz val="10"/>
      <name val="Century"/>
      <charset val="134"/>
    </font>
    <font>
      <b/>
      <sz val="14"/>
      <color theme="1"/>
      <name val="Arial"/>
      <charset val="134"/>
    </font>
    <font>
      <b/>
      <u/>
      <sz val="10"/>
      <name val="Arial"/>
      <charset val="134"/>
    </font>
    <font>
      <sz val="14"/>
      <color theme="1"/>
      <name val="Arial"/>
      <charset val="134"/>
    </font>
    <font>
      <sz val="11.5"/>
      <name val="Arial"/>
      <charset val="134"/>
    </font>
    <font>
      <sz val="14"/>
      <color rgb="FFFF0000"/>
      <name val="Century"/>
      <charset val="134"/>
    </font>
    <font>
      <sz val="10.5"/>
      <color theme="1"/>
      <name val="Arial"/>
      <charset val="134"/>
    </font>
    <font>
      <sz val="11"/>
      <color theme="1"/>
      <name val="Arial"/>
      <charset val="134"/>
    </font>
    <font>
      <b/>
      <sz val="14"/>
      <color rgb="FFFF0000"/>
      <name val="Century"/>
      <charset val="134"/>
    </font>
    <font>
      <sz val="10"/>
      <color theme="1"/>
      <name val="Arial"/>
      <charset val="134"/>
    </font>
    <font>
      <b/>
      <sz val="16"/>
      <color theme="0"/>
      <name val="Century"/>
      <charset val="134"/>
    </font>
    <font>
      <sz val="16"/>
      <color theme="0"/>
      <name val="Arial"/>
      <charset val="134"/>
    </font>
    <font>
      <sz val="16"/>
      <color rgb="FF002060"/>
      <name val="Arial"/>
      <charset val="134"/>
    </font>
    <font>
      <sz val="16"/>
      <color rgb="FF00B0F0"/>
      <name val="Arial"/>
      <charset val="134"/>
    </font>
    <font>
      <sz val="12"/>
      <color rgb="FF002060"/>
      <name val="Arial"/>
      <charset val="134"/>
    </font>
    <font>
      <sz val="12"/>
      <color theme="0"/>
      <name val="Arial"/>
      <charset val="134"/>
    </font>
    <font>
      <u/>
      <sz val="16"/>
      <color rgb="FF002060"/>
      <name val="Arial"/>
      <charset val="134"/>
    </font>
    <font>
      <u/>
      <sz val="16"/>
      <color theme="0"/>
      <name val="Arial"/>
      <charset val="134"/>
    </font>
    <font>
      <sz val="16"/>
      <name val="Arial"/>
      <charset val="134"/>
    </font>
    <font>
      <b/>
      <u/>
      <sz val="16"/>
      <color rgb="FF002060"/>
      <name val="Arial"/>
      <charset val="134"/>
    </font>
    <font>
      <b/>
      <u/>
      <sz val="16"/>
      <color theme="0"/>
      <name val="Arial"/>
      <charset val="134"/>
    </font>
    <font>
      <b/>
      <sz val="16"/>
      <color theme="0"/>
      <name val="Arial"/>
      <charset val="134"/>
    </font>
    <font>
      <sz val="16"/>
      <color rgb="FF00B050"/>
      <name val="Arial"/>
      <charset val="134"/>
    </font>
    <font>
      <b/>
      <sz val="16"/>
      <color rgb="FF002060"/>
      <name val="Arial"/>
      <charset val="134"/>
    </font>
    <font>
      <b/>
      <sz val="16"/>
      <color rgb="FF00B0F0"/>
      <name val="Arial"/>
      <charset val="134"/>
    </font>
    <font>
      <b/>
      <u/>
      <sz val="16"/>
      <name val="Arial"/>
      <charset val="134"/>
    </font>
    <font>
      <b/>
      <sz val="12"/>
      <color theme="0"/>
      <name val="Arial"/>
      <charset val="134"/>
    </font>
    <font>
      <b/>
      <sz val="16"/>
      <color rgb="FF002060"/>
      <name val="Century"/>
      <charset val="134"/>
    </font>
    <font>
      <b/>
      <sz val="12"/>
      <color theme="0"/>
      <name val="Century"/>
      <charset val="134"/>
    </font>
    <font>
      <b/>
      <u/>
      <sz val="12"/>
      <color theme="0"/>
      <name val="Arial"/>
      <charset val="134"/>
    </font>
    <font>
      <b/>
      <sz val="15"/>
      <color theme="0"/>
      <name val="Arial"/>
      <charset val="134"/>
    </font>
    <font>
      <b/>
      <sz val="13.5"/>
      <color theme="0"/>
      <name val="Arial"/>
      <charset val="134"/>
    </font>
    <font>
      <sz val="13.5"/>
      <color theme="0"/>
      <name val="Arial"/>
      <charset val="134"/>
    </font>
    <font>
      <u/>
      <sz val="16"/>
      <name val="Arial"/>
      <charset val="134"/>
    </font>
    <font>
      <u/>
      <sz val="12"/>
      <color theme="0"/>
      <name val="Arial"/>
      <charset val="134"/>
    </font>
    <font>
      <b/>
      <sz val="13.5"/>
      <name val="Arial"/>
      <charset val="134"/>
    </font>
    <font>
      <sz val="16"/>
      <color rgb="FF002060"/>
      <name val="Century"/>
      <charset val="134"/>
    </font>
    <font>
      <sz val="16"/>
      <color theme="0"/>
      <name val="Century"/>
      <charset val="134"/>
    </font>
    <font>
      <sz val="12"/>
      <name val="Century"/>
      <charset val="134"/>
    </font>
    <font>
      <sz val="12"/>
      <color theme="0"/>
      <name val="Century"/>
      <charset val="134"/>
    </font>
    <font>
      <sz val="16"/>
      <color indexed="10"/>
      <name val="Arial"/>
      <charset val="134"/>
    </font>
    <font>
      <i/>
      <u/>
      <sz val="12"/>
      <color theme="0"/>
      <name val="Arial"/>
      <charset val="134"/>
    </font>
    <font>
      <b/>
      <sz val="16"/>
      <color rgb="FF00B0F0"/>
      <name val="Century"/>
      <charset val="134"/>
    </font>
    <font>
      <b/>
      <i/>
      <sz val="10"/>
      <name val="Arial"/>
      <charset val="134"/>
    </font>
    <font>
      <b/>
      <i/>
      <sz val="10"/>
      <color theme="0"/>
      <name val="Arial"/>
      <charset val="134"/>
    </font>
    <font>
      <b/>
      <sz val="14"/>
      <color rgb="FF002060"/>
      <name val="Arial"/>
      <charset val="134"/>
    </font>
    <font>
      <b/>
      <u/>
      <sz val="16"/>
      <color rgb="FF002060"/>
      <name val="Century"/>
      <charset val="134"/>
    </font>
    <font>
      <b/>
      <u/>
      <sz val="12"/>
      <color theme="0"/>
      <name val="Century"/>
      <charset val="134"/>
    </font>
    <font>
      <b/>
      <u/>
      <sz val="12"/>
      <name val="Century"/>
      <charset val="134"/>
    </font>
    <font>
      <sz val="15"/>
      <color theme="0"/>
      <name val="Arial"/>
      <charset val="134"/>
    </font>
    <font>
      <sz val="16"/>
      <color rgb="FFFF0000"/>
      <name val="Arial"/>
      <charset val="134"/>
    </font>
    <font>
      <b/>
      <sz val="16"/>
      <name val="Century"/>
      <charset val="134"/>
    </font>
    <font>
      <sz val="16"/>
      <name val="Century"/>
      <charset val="134"/>
    </font>
    <font>
      <b/>
      <sz val="26"/>
      <color theme="0"/>
      <name val="Arial"/>
      <charset val="134"/>
    </font>
    <font>
      <b/>
      <sz val="26"/>
      <color rgb="FFFF0000"/>
      <name val="Arial"/>
      <charset val="134"/>
    </font>
    <font>
      <b/>
      <u/>
      <sz val="18"/>
      <color rgb="FF002060"/>
      <name val="Century"/>
      <charset val="134"/>
    </font>
    <font>
      <b/>
      <u/>
      <sz val="18"/>
      <color theme="0"/>
      <name val="Century"/>
      <charset val="134"/>
    </font>
    <font>
      <b/>
      <sz val="15"/>
      <name val="Arial"/>
      <charset val="134"/>
    </font>
    <font>
      <sz val="12"/>
      <color rgb="FF29CDAE"/>
      <name val="Arial"/>
      <charset val="134"/>
    </font>
    <font>
      <sz val="13.5"/>
      <name val="Arial"/>
      <charset val="134"/>
    </font>
    <font>
      <b/>
      <sz val="12"/>
      <color rgb="FF00B0F0"/>
      <name val="Arial"/>
      <charset val="134"/>
    </font>
    <font>
      <sz val="16"/>
      <name val="Calibri"/>
      <charset val="134"/>
    </font>
    <font>
      <b/>
      <sz val="12"/>
      <color indexed="10"/>
      <name val="Arial"/>
      <charset val="134"/>
    </font>
    <font>
      <sz val="12"/>
      <color rgb="FF00B0F0"/>
      <name val="Arial"/>
      <charset val="134"/>
    </font>
    <font>
      <b/>
      <u/>
      <sz val="24"/>
      <name val="Arial"/>
      <charset val="134"/>
    </font>
    <font>
      <sz val="15"/>
      <name val="Arial"/>
      <charset val="134"/>
    </font>
    <font>
      <b/>
      <sz val="15"/>
      <color rgb="FF002060"/>
      <name val="Arial"/>
      <charset val="134"/>
    </font>
    <font>
      <sz val="14.5"/>
      <color theme="0"/>
      <name val="Arial"/>
      <charset val="134"/>
    </font>
    <font>
      <b/>
      <sz val="12"/>
      <name val="Century"/>
      <charset val="134"/>
    </font>
    <font>
      <sz val="15.5"/>
      <name val="Arial"/>
      <charset val="134"/>
    </font>
    <font>
      <b/>
      <u/>
      <sz val="25"/>
      <color rgb="FF002060"/>
      <name val="Algerian"/>
      <charset val="134"/>
    </font>
    <font>
      <sz val="10"/>
      <color rgb="FF002060"/>
      <name val="Arial"/>
      <charset val="134"/>
    </font>
    <font>
      <b/>
      <sz val="15"/>
      <color rgb="FF002060"/>
      <name val="Bodoni MT Black"/>
      <charset val="134"/>
    </font>
    <font>
      <b/>
      <sz val="11"/>
      <color rgb="FF002060"/>
      <name val="Arial"/>
      <charset val="134"/>
    </font>
    <font>
      <sz val="10"/>
      <name val="Baskerville Old Face"/>
      <charset val="134"/>
    </font>
    <font>
      <sz val="11"/>
      <color rgb="FF002060"/>
      <name val="Arial"/>
      <charset val="134"/>
    </font>
    <font>
      <b/>
      <sz val="14"/>
      <name val="Bodoni MT Black"/>
      <charset val="134"/>
    </font>
    <font>
      <sz val="12"/>
      <name val="Baskerville Old Face"/>
      <charset val="134"/>
    </font>
    <font>
      <sz val="14"/>
      <name val="Wingdings"/>
      <charset val="2"/>
    </font>
    <font>
      <b/>
      <sz val="14"/>
      <name val="Algerian"/>
      <charset val="134"/>
    </font>
    <font>
      <sz val="12"/>
      <color rgb="FF000000"/>
      <name val="Arial"/>
      <charset val="134"/>
    </font>
    <font>
      <b/>
      <sz val="12"/>
      <color rgb="FF000000"/>
      <name val="Times New Roman"/>
      <charset val="134"/>
    </font>
    <font>
      <b/>
      <i/>
      <sz val="14"/>
      <color rgb="FF0070C0"/>
      <name val="Arial"/>
      <charset val="134"/>
    </font>
    <font>
      <b/>
      <i/>
      <sz val="12"/>
      <color rgb="FF0070C0"/>
      <name val="Arial"/>
      <charset val="134"/>
    </font>
    <font>
      <b/>
      <sz val="12"/>
      <color rgb="FF0070C0"/>
      <name val="Arial"/>
      <charset val="134"/>
    </font>
    <font>
      <sz val="7"/>
      <name val="Times New Roman"/>
      <charset val="134"/>
    </font>
    <font>
      <b/>
      <i/>
      <u/>
      <sz val="13"/>
      <name val="Arial"/>
      <charset val="134"/>
    </font>
    <font>
      <sz val="11"/>
      <color indexed="8"/>
      <name val="Arial"/>
      <charset val="134"/>
    </font>
    <font>
      <b/>
      <u/>
      <sz val="16"/>
      <color indexed="9"/>
      <name val="Century"/>
      <charset val="134"/>
    </font>
    <font>
      <b/>
      <u/>
      <sz val="16"/>
      <color indexed="56"/>
      <name val="Arial"/>
      <charset val="134"/>
    </font>
    <font>
      <b/>
      <sz val="16"/>
      <color indexed="56"/>
      <name val="Century"/>
      <charset val="134"/>
    </font>
    <font>
      <b/>
      <u/>
      <sz val="16"/>
      <color indexed="56"/>
      <name val="Century"/>
      <charset val="134"/>
    </font>
    <font>
      <b/>
      <u/>
      <sz val="16"/>
      <color indexed="9"/>
      <name val="Arial"/>
      <charset val="134"/>
    </font>
    <font>
      <b/>
      <sz val="15"/>
      <color indexed="9"/>
      <name val="Arial"/>
      <charset val="134"/>
    </font>
    <font>
      <sz val="16"/>
      <color indexed="56"/>
      <name val="Century"/>
      <charset val="134"/>
    </font>
    <font>
      <sz val="10"/>
      <name val="Arial"/>
      <charset val="134"/>
    </font>
    <font>
      <sz val="10"/>
      <name val="Arial"/>
      <family val="2"/>
    </font>
    <font>
      <sz val="12"/>
      <name val="Arial"/>
      <family val="2"/>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tint="-0.14996795556505021"/>
        <bgColor indexed="64"/>
      </patternFill>
    </fill>
    <fill>
      <patternFill patternType="solid">
        <fgColor theme="9" tint="0.39994506668294322"/>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double">
        <color auto="1"/>
      </bottom>
      <diagonal/>
    </border>
    <border>
      <left/>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auto="1"/>
      </left>
      <right/>
      <top style="double">
        <color auto="1"/>
      </top>
      <bottom/>
      <diagonal/>
    </border>
    <border>
      <left/>
      <right/>
      <top style="double">
        <color auto="1"/>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right style="double">
        <color auto="1"/>
      </right>
      <top style="double">
        <color auto="1"/>
      </top>
      <bottom/>
      <diagonal/>
    </border>
    <border>
      <left/>
      <right style="double">
        <color auto="1"/>
      </right>
      <top/>
      <bottom/>
      <diagonal/>
    </border>
    <border>
      <left/>
      <right style="double">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double">
        <color auto="1"/>
      </right>
      <top/>
      <bottom style="double">
        <color auto="1"/>
      </bottom>
      <diagonal/>
    </border>
    <border>
      <left/>
      <right style="double">
        <color auto="1"/>
      </right>
      <top style="thin">
        <color auto="1"/>
      </top>
      <bottom style="medium">
        <color auto="1"/>
      </bottom>
      <diagonal/>
    </border>
    <border>
      <left/>
      <right style="double">
        <color auto="1"/>
      </right>
      <top/>
      <bottom style="thin">
        <color auto="1"/>
      </bottom>
      <diagonal/>
    </border>
    <border>
      <left/>
      <right style="double">
        <color auto="1"/>
      </right>
      <top/>
      <bottom style="medium">
        <color auto="1"/>
      </bottom>
      <diagonal/>
    </border>
    <border>
      <left style="thin">
        <color auto="1"/>
      </left>
      <right style="medium">
        <color auto="1"/>
      </right>
      <top style="medium">
        <color auto="1"/>
      </top>
      <bottom/>
      <diagonal/>
    </border>
    <border>
      <left style="medium">
        <color auto="1"/>
      </left>
      <right/>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s>
  <cellStyleXfs count="3">
    <xf numFmtId="0" fontId="0" fillId="0" borderId="0"/>
    <xf numFmtId="164" fontId="171" fillId="0" borderId="0" applyFont="0" applyFill="0" applyBorder="0" applyAlignment="0" applyProtection="0"/>
    <xf numFmtId="0" fontId="171" fillId="0" borderId="0"/>
  </cellStyleXfs>
  <cellXfs count="1087">
    <xf numFmtId="0" fontId="0" fillId="0" borderId="0" xfId="0"/>
    <xf numFmtId="41" fontId="0" fillId="0" borderId="0" xfId="0" applyNumberFormat="1"/>
    <xf numFmtId="0" fontId="4" fillId="0" borderId="0" xfId="0" applyFont="1" applyAlignment="1">
      <alignment horizontal="left"/>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left"/>
    </xf>
    <xf numFmtId="0" fontId="6" fillId="0" borderId="0" xfId="0" applyFont="1" applyAlignment="1">
      <alignment horizontal="left"/>
    </xf>
    <xf numFmtId="0" fontId="7" fillId="0" borderId="0" xfId="0" applyFont="1" applyAlignment="1">
      <alignment horizontal="center"/>
    </xf>
    <xf numFmtId="0" fontId="4" fillId="0" borderId="1" xfId="0" applyFont="1" applyBorder="1" applyAlignment="1">
      <alignment horizontal="center"/>
    </xf>
    <xf numFmtId="41" fontId="4" fillId="0" borderId="1" xfId="0" applyNumberFormat="1" applyFont="1" applyBorder="1" applyAlignment="1">
      <alignment horizontal="center"/>
    </xf>
    <xf numFmtId="0" fontId="0" fillId="0" borderId="1" xfId="0" applyBorder="1"/>
    <xf numFmtId="41" fontId="0" fillId="0" borderId="1" xfId="0" applyNumberFormat="1" applyBorder="1"/>
    <xf numFmtId="41" fontId="8" fillId="0" borderId="1" xfId="0" applyNumberFormat="1" applyFont="1" applyBorder="1"/>
    <xf numFmtId="0" fontId="8" fillId="0" borderId="1" xfId="0" applyFont="1" applyBorder="1"/>
    <xf numFmtId="41" fontId="6" fillId="0" borderId="1" xfId="0" applyNumberFormat="1" applyFont="1" applyBorder="1"/>
    <xf numFmtId="0" fontId="9" fillId="0" borderId="0" xfId="0" applyFont="1"/>
    <xf numFmtId="41" fontId="10" fillId="0" borderId="0" xfId="0" applyNumberFormat="1" applyFont="1"/>
    <xf numFmtId="0" fontId="11" fillId="0" borderId="0" xfId="0" applyFont="1"/>
    <xf numFmtId="0" fontId="12" fillId="0" borderId="0" xfId="0" applyFont="1"/>
    <xf numFmtId="0" fontId="7" fillId="0" borderId="0" xfId="0" applyFont="1"/>
    <xf numFmtId="0" fontId="13" fillId="0" borderId="0" xfId="0" applyFont="1"/>
    <xf numFmtId="0" fontId="6" fillId="0" borderId="0" xfId="0" applyFont="1"/>
    <xf numFmtId="0" fontId="6" fillId="0" borderId="2" xfId="0" applyFont="1" applyBorder="1" applyAlignment="1">
      <alignment horizontal="left"/>
    </xf>
    <xf numFmtId="0" fontId="13" fillId="0" borderId="3" xfId="0" applyFont="1" applyBorder="1" applyAlignment="1">
      <alignment horizontal="left"/>
    </xf>
    <xf numFmtId="0" fontId="13" fillId="0" borderId="2" xfId="0" applyFont="1" applyBorder="1" applyAlignment="1">
      <alignment horizontal="left"/>
    </xf>
    <xf numFmtId="0" fontId="7" fillId="0" borderId="4" xfId="0" applyFont="1" applyBorder="1"/>
    <xf numFmtId="0" fontId="13" fillId="0" borderId="5" xfId="0" applyFont="1" applyBorder="1"/>
    <xf numFmtId="0" fontId="7" fillId="0" borderId="2" xfId="0" applyFont="1" applyBorder="1"/>
    <xf numFmtId="0" fontId="7" fillId="0" borderId="3" xfId="0" applyFont="1" applyBorder="1"/>
    <xf numFmtId="0" fontId="6" fillId="0" borderId="1"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0" borderId="2" xfId="0" applyFont="1" applyBorder="1" applyAlignment="1">
      <alignment horizontal="left"/>
    </xf>
    <xf numFmtId="0" fontId="7" fillId="0" borderId="3" xfId="0" applyFont="1" applyBorder="1" applyAlignment="1">
      <alignment horizontal="left"/>
    </xf>
    <xf numFmtId="0" fontId="7" fillId="0" borderId="6" xfId="0" applyFont="1" applyBorder="1"/>
    <xf numFmtId="0" fontId="7" fillId="0" borderId="10" xfId="0" applyFont="1" applyBorder="1" applyAlignment="1">
      <alignment horizontal="left"/>
    </xf>
    <xf numFmtId="0" fontId="7" fillId="0" borderId="11" xfId="0" applyFont="1" applyBorder="1" applyAlignment="1">
      <alignment horizontal="left"/>
    </xf>
    <xf numFmtId="0" fontId="7" fillId="0" borderId="11" xfId="0" applyFont="1" applyBorder="1"/>
    <xf numFmtId="0" fontId="7" fillId="0" borderId="12" xfId="0" applyFont="1" applyBorder="1" applyAlignment="1">
      <alignment horizontal="left"/>
    </xf>
    <xf numFmtId="0" fontId="7" fillId="0" borderId="1" xfId="0" applyFont="1" applyBorder="1"/>
    <xf numFmtId="0" fontId="7" fillId="0" borderId="5" xfId="0" applyFont="1" applyBorder="1"/>
    <xf numFmtId="0" fontId="7" fillId="0" borderId="7" xfId="0" applyFont="1" applyBorder="1" applyAlignment="1">
      <alignment horizontal="left"/>
    </xf>
    <xf numFmtId="0" fontId="7" fillId="0" borderId="8" xfId="0" applyFont="1" applyBorder="1" applyAlignment="1">
      <alignment horizontal="left"/>
    </xf>
    <xf numFmtId="0" fontId="7" fillId="0" borderId="12" xfId="0" applyFont="1" applyBorder="1"/>
    <xf numFmtId="0" fontId="7" fillId="0" borderId="9" xfId="0" applyFont="1" applyBorder="1" applyAlignment="1">
      <alignment horizontal="center"/>
    </xf>
    <xf numFmtId="0" fontId="6" fillId="0" borderId="1" xfId="0" applyFont="1" applyBorder="1"/>
    <xf numFmtId="0" fontId="7" fillId="0" borderId="8" xfId="0" applyFont="1" applyBorder="1"/>
    <xf numFmtId="0" fontId="7" fillId="0" borderId="4" xfId="0" applyFont="1" applyBorder="1" applyAlignment="1">
      <alignment horizontal="left"/>
    </xf>
    <xf numFmtId="0" fontId="7" fillId="0" borderId="5" xfId="0" applyFont="1" applyBorder="1" applyAlignment="1">
      <alignment horizontal="left"/>
    </xf>
    <xf numFmtId="0" fontId="6" fillId="0" borderId="12" xfId="0" applyFont="1" applyBorder="1"/>
    <xf numFmtId="0" fontId="7" fillId="0" borderId="13" xfId="0" applyFont="1" applyBorder="1"/>
    <xf numFmtId="0" fontId="7" fillId="0" borderId="14" xfId="0" applyFont="1" applyBorder="1"/>
    <xf numFmtId="0" fontId="7" fillId="0" borderId="15" xfId="0" applyFont="1" applyBorder="1"/>
    <xf numFmtId="0" fontId="6" fillId="0" borderId="6" xfId="0" applyFont="1" applyBorder="1"/>
    <xf numFmtId="0" fontId="7" fillId="0" borderId="10" xfId="0" applyFont="1" applyBorder="1"/>
    <xf numFmtId="0" fontId="7" fillId="0" borderId="7" xfId="0" applyFont="1" applyBorder="1"/>
    <xf numFmtId="0" fontId="7" fillId="0" borderId="9" xfId="0" applyFont="1" applyBorder="1"/>
    <xf numFmtId="0" fontId="6" fillId="0" borderId="4" xfId="0" applyFont="1" applyBorder="1"/>
    <xf numFmtId="0" fontId="8" fillId="0" borderId="4" xfId="0" applyFont="1" applyBorder="1"/>
    <xf numFmtId="0" fontId="0" fillId="0" borderId="12" xfId="0" applyBorder="1"/>
    <xf numFmtId="0" fontId="0" fillId="0" borderId="5" xfId="0" applyBorder="1"/>
    <xf numFmtId="0" fontId="7" fillId="0" borderId="2"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3" xfId="0" applyFont="1" applyBorder="1" applyAlignment="1">
      <alignment horizontal="left"/>
    </xf>
    <xf numFmtId="0" fontId="7" fillId="0" borderId="13" xfId="0" applyFont="1" applyBorder="1" applyAlignment="1">
      <alignment horizontal="center"/>
    </xf>
    <xf numFmtId="0" fontId="7" fillId="0" borderId="1" xfId="0" applyFont="1" applyBorder="1" applyAlignment="1">
      <alignment horizontal="left" vertical="top"/>
    </xf>
    <xf numFmtId="0" fontId="7" fillId="0" borderId="12" xfId="0" applyFont="1" applyBorder="1" applyAlignment="1">
      <alignment horizontal="center" vertical="top"/>
    </xf>
    <xf numFmtId="0" fontId="7" fillId="0" borderId="5" xfId="0" applyFont="1" applyBorder="1" applyAlignment="1">
      <alignment horizontal="center" vertical="top" wrapText="1"/>
    </xf>
    <xf numFmtId="0" fontId="7" fillId="0" borderId="4" xfId="0" applyFont="1" applyBorder="1" applyAlignment="1">
      <alignment horizontal="center" vertical="top" wrapText="1"/>
    </xf>
    <xf numFmtId="0" fontId="7" fillId="0" borderId="1" xfId="0" applyFont="1" applyBorder="1" applyAlignment="1">
      <alignment horizontal="center" vertical="top" wrapText="1"/>
    </xf>
    <xf numFmtId="0" fontId="7" fillId="0" borderId="5" xfId="0" applyFont="1" applyBorder="1" applyAlignment="1">
      <alignment wrapText="1"/>
    </xf>
    <xf numFmtId="14" fontId="7" fillId="0" borderId="6" xfId="0" applyNumberFormat="1" applyFont="1" applyBorder="1" applyAlignment="1">
      <alignment horizontal="center"/>
    </xf>
    <xf numFmtId="0" fontId="7" fillId="0" borderId="13" xfId="0" applyFont="1" applyBorder="1" applyAlignment="1">
      <alignment vertical="top"/>
    </xf>
    <xf numFmtId="0" fontId="7" fillId="0" borderId="14" xfId="0" applyFont="1" applyBorder="1" applyAlignment="1">
      <alignment horizontal="center"/>
    </xf>
    <xf numFmtId="0" fontId="7" fillId="0" borderId="10" xfId="0" applyFont="1" applyBorder="1" applyAlignment="1">
      <alignment horizontal="center"/>
    </xf>
    <xf numFmtId="14" fontId="7" fillId="0" borderId="0" xfId="0" applyNumberFormat="1" applyFont="1" applyAlignment="1">
      <alignment horizontal="center"/>
    </xf>
    <xf numFmtId="0" fontId="7" fillId="0" borderId="14" xfId="0" applyFont="1" applyBorder="1" applyAlignment="1">
      <alignment horizontal="center" vertical="top"/>
    </xf>
    <xf numFmtId="0" fontId="16" fillId="0" borderId="11" xfId="0" applyFont="1" applyBorder="1" applyAlignment="1">
      <alignment horizontal="center"/>
    </xf>
    <xf numFmtId="0" fontId="7" fillId="0" borderId="14" xfId="0" applyFont="1" applyBorder="1" applyAlignment="1">
      <alignment vertical="top"/>
    </xf>
    <xf numFmtId="0" fontId="7" fillId="0" borderId="15" xfId="0" applyFont="1" applyBorder="1" applyAlignment="1">
      <alignment horizontal="center"/>
    </xf>
    <xf numFmtId="0" fontId="7" fillId="0" borderId="0" xfId="0" applyFont="1" applyAlignment="1">
      <alignment vertical="top"/>
    </xf>
    <xf numFmtId="0" fontId="7" fillId="0" borderId="9" xfId="0" applyFont="1" applyBorder="1" applyAlignment="1">
      <alignment vertical="top"/>
    </xf>
    <xf numFmtId="0" fontId="7" fillId="0" borderId="1" xfId="0" applyFont="1" applyBorder="1" applyAlignment="1">
      <alignment horizontal="center" vertical="top"/>
    </xf>
    <xf numFmtId="0" fontId="0" fillId="0" borderId="3" xfId="0" applyBorder="1"/>
    <xf numFmtId="0" fontId="7" fillId="0" borderId="5" xfId="0" applyFont="1" applyBorder="1" applyAlignment="1">
      <alignment horizontal="center" vertical="center" wrapText="1"/>
    </xf>
    <xf numFmtId="0" fontId="7" fillId="0" borderId="4" xfId="0" applyFont="1" applyBorder="1" applyAlignment="1">
      <alignment vertical="top"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6" fillId="0" borderId="15" xfId="0" applyFont="1" applyBorder="1" applyAlignment="1">
      <alignment horizontal="center"/>
    </xf>
    <xf numFmtId="0" fontId="7" fillId="0" borderId="8" xfId="0" applyFont="1" applyBorder="1" applyAlignment="1">
      <alignment horizontal="center"/>
    </xf>
    <xf numFmtId="0" fontId="17" fillId="0" borderId="0" xfId="0" applyFont="1"/>
    <xf numFmtId="0" fontId="7" fillId="0" borderId="0" xfId="0" applyFont="1" applyAlignment="1">
      <alignment horizontal="center" vertical="top"/>
    </xf>
    <xf numFmtId="0" fontId="7" fillId="0" borderId="0" xfId="0" applyFont="1" applyAlignment="1">
      <alignment horizontal="center" vertical="top" wrapText="1"/>
    </xf>
    <xf numFmtId="0" fontId="7" fillId="0" borderId="12" xfId="0" applyFont="1" applyBorder="1" applyAlignment="1">
      <alignment horizontal="center"/>
    </xf>
    <xf numFmtId="0" fontId="7" fillId="0" borderId="12" xfId="0" applyFont="1" applyBorder="1" applyAlignment="1">
      <alignment vertical="top"/>
    </xf>
    <xf numFmtId="0" fontId="7" fillId="0" borderId="5" xfId="0" applyFont="1" applyBorder="1" applyAlignment="1">
      <alignment vertical="top"/>
    </xf>
    <xf numFmtId="0" fontId="7" fillId="0" borderId="1" xfId="0" applyFont="1" applyBorder="1" applyAlignment="1">
      <alignment horizontal="left" vertical="center"/>
    </xf>
    <xf numFmtId="167" fontId="7" fillId="0" borderId="4" xfId="0" applyNumberFormat="1" applyFont="1" applyBorder="1"/>
    <xf numFmtId="167" fontId="7" fillId="0" borderId="0" xfId="0" applyNumberFormat="1" applyFont="1"/>
    <xf numFmtId="167" fontId="7" fillId="0" borderId="0" xfId="0" applyNumberFormat="1" applyFont="1" applyAlignment="1">
      <alignment horizontal="center"/>
    </xf>
    <xf numFmtId="0" fontId="7" fillId="0" borderId="1" xfId="0" applyFont="1" applyBorder="1" applyAlignment="1">
      <alignment vertical="top"/>
    </xf>
    <xf numFmtId="0" fontId="7" fillId="0" borderId="1" xfId="0" applyFont="1" applyBorder="1" applyAlignment="1">
      <alignment vertical="top" wrapText="1"/>
    </xf>
    <xf numFmtId="167" fontId="7" fillId="0" borderId="1" xfId="0" applyNumberFormat="1" applyFont="1" applyBorder="1" applyAlignment="1">
      <alignment horizontal="center"/>
    </xf>
    <xf numFmtId="167" fontId="7" fillId="0" borderId="5" xfId="0" applyNumberFormat="1" applyFont="1" applyBorder="1" applyAlignment="1">
      <alignment horizontal="center"/>
    </xf>
    <xf numFmtId="0" fontId="7" fillId="0" borderId="12" xfId="0" applyFont="1" applyBorder="1" applyAlignment="1">
      <alignment vertical="top" wrapText="1"/>
    </xf>
    <xf numFmtId="0" fontId="6" fillId="0" borderId="5" xfId="0" applyFont="1" applyBorder="1" applyAlignment="1">
      <alignment horizontal="right"/>
    </xf>
    <xf numFmtId="167" fontId="7" fillId="0" borderId="12" xfId="0" applyNumberFormat="1" applyFont="1" applyBorder="1"/>
    <xf numFmtId="0" fontId="7" fillId="0" borderId="4" xfId="0" applyFont="1" applyBorder="1" applyAlignment="1">
      <alignment vertical="center"/>
    </xf>
    <xf numFmtId="0" fontId="7" fillId="0" borderId="12" xfId="0" applyFont="1" applyBorder="1" applyAlignment="1">
      <alignment vertical="center"/>
    </xf>
    <xf numFmtId="0" fontId="0" fillId="0" borderId="4" xfId="0" applyBorder="1"/>
    <xf numFmtId="0" fontId="7" fillId="0" borderId="1" xfId="0" applyFont="1" applyBorder="1" applyAlignment="1">
      <alignment vertical="center" wrapText="1"/>
    </xf>
    <xf numFmtId="0" fontId="7" fillId="0" borderId="4" xfId="0" applyFont="1" applyBorder="1" applyAlignment="1">
      <alignment vertical="center" wrapText="1"/>
    </xf>
    <xf numFmtId="167" fontId="7" fillId="0" borderId="5" xfId="0" applyNumberFormat="1" applyFont="1" applyBorder="1"/>
    <xf numFmtId="0" fontId="7" fillId="0" borderId="0" xfId="0" applyFont="1" applyAlignment="1">
      <alignment vertical="center"/>
    </xf>
    <xf numFmtId="0" fontId="14" fillId="0" borderId="0" xfId="0" applyFont="1"/>
    <xf numFmtId="0" fontId="7" fillId="0" borderId="11" xfId="0" applyFont="1" applyBorder="1" applyAlignment="1">
      <alignment horizontal="center"/>
    </xf>
    <xf numFmtId="164" fontId="7" fillId="0" borderId="0" xfId="0" applyNumberFormat="1" applyFont="1"/>
    <xf numFmtId="168" fontId="7" fillId="0" borderId="0" xfId="0" applyNumberFormat="1" applyFont="1" applyAlignment="1">
      <alignment horizontal="left"/>
    </xf>
    <xf numFmtId="0" fontId="7" fillId="0" borderId="0" xfId="0" applyFont="1" applyAlignment="1">
      <alignment horizontal="right"/>
    </xf>
    <xf numFmtId="167" fontId="0" fillId="0" borderId="0" xfId="0" applyNumberFormat="1"/>
    <xf numFmtId="167" fontId="6" fillId="0" borderId="0" xfId="0" applyNumberFormat="1" applyFont="1" applyAlignment="1">
      <alignment horizontal="right"/>
    </xf>
    <xf numFmtId="167" fontId="6" fillId="0" borderId="0" xfId="0" applyNumberFormat="1" applyFont="1"/>
    <xf numFmtId="167" fontId="6" fillId="0" borderId="0" xfId="0" applyNumberFormat="1" applyFont="1" applyAlignment="1">
      <alignment horizontal="center"/>
    </xf>
    <xf numFmtId="167" fontId="6" fillId="0" borderId="16" xfId="0" applyNumberFormat="1" applyFont="1" applyBorder="1" applyAlignment="1">
      <alignment vertical="center" wrapText="1"/>
    </xf>
    <xf numFmtId="167" fontId="6" fillId="0" borderId="16" xfId="0" applyNumberFormat="1" applyFont="1" applyBorder="1" applyAlignment="1">
      <alignment horizontal="center" vertical="center" wrapText="1"/>
    </xf>
    <xf numFmtId="167" fontId="6" fillId="0" borderId="16" xfId="0" applyNumberFormat="1" applyFont="1" applyBorder="1" applyAlignment="1">
      <alignment horizontal="center" vertical="center"/>
    </xf>
    <xf numFmtId="167" fontId="6" fillId="0" borderId="0" xfId="0" applyNumberFormat="1" applyFont="1" applyAlignment="1">
      <alignment vertical="top" wrapText="1"/>
    </xf>
    <xf numFmtId="167" fontId="6" fillId="0" borderId="9" xfId="0" applyNumberFormat="1" applyFont="1" applyBorder="1"/>
    <xf numFmtId="167" fontId="7" fillId="0" borderId="9" xfId="0" applyNumberFormat="1" applyFont="1" applyBorder="1"/>
    <xf numFmtId="167" fontId="19" fillId="0" borderId="0" xfId="0" applyNumberFormat="1" applyFont="1"/>
    <xf numFmtId="0" fontId="20" fillId="0" borderId="0" xfId="0" applyFont="1"/>
    <xf numFmtId="164" fontId="0" fillId="0" borderId="0" xfId="0" applyNumberFormat="1"/>
    <xf numFmtId="167" fontId="7" fillId="0" borderId="16" xfId="0" applyNumberFormat="1" applyFont="1" applyBorder="1"/>
    <xf numFmtId="167" fontId="21" fillId="0" borderId="16" xfId="0" applyNumberFormat="1" applyFont="1" applyBorder="1"/>
    <xf numFmtId="167" fontId="6" fillId="0" borderId="16" xfId="0" applyNumberFormat="1" applyFont="1" applyBorder="1"/>
    <xf numFmtId="41" fontId="6" fillId="0" borderId="0" xfId="0" applyNumberFormat="1" applyFont="1"/>
    <xf numFmtId="167" fontId="6" fillId="0" borderId="16" xfId="0" applyNumberFormat="1" applyFont="1" applyBorder="1" applyAlignment="1">
      <alignment horizontal="center"/>
    </xf>
    <xf numFmtId="41" fontId="6" fillId="0" borderId="16" xfId="0" applyNumberFormat="1" applyFont="1" applyBorder="1"/>
    <xf numFmtId="167" fontId="4" fillId="0" borderId="9" xfId="0" applyNumberFormat="1" applyFont="1" applyBorder="1" applyAlignment="1">
      <alignment horizontal="left"/>
    </xf>
    <xf numFmtId="41" fontId="7" fillId="0" borderId="0" xfId="0" applyNumberFormat="1" applyFont="1"/>
    <xf numFmtId="167" fontId="7" fillId="0" borderId="0" xfId="0" applyNumberFormat="1" applyFont="1" applyAlignment="1">
      <alignment horizontal="left"/>
    </xf>
    <xf numFmtId="167" fontId="22" fillId="0" borderId="9" xfId="0" applyNumberFormat="1" applyFont="1" applyBorder="1" applyAlignment="1">
      <alignment horizontal="left"/>
    </xf>
    <xf numFmtId="167" fontId="6" fillId="0" borderId="0" xfId="0" applyNumberFormat="1" applyFont="1" applyAlignment="1">
      <alignment horizontal="left"/>
    </xf>
    <xf numFmtId="41" fontId="7" fillId="0" borderId="9" xfId="0" applyNumberFormat="1" applyFont="1" applyBorder="1"/>
    <xf numFmtId="167" fontId="6" fillId="0" borderId="16" xfId="0" applyNumberFormat="1" applyFont="1" applyBorder="1" applyAlignment="1">
      <alignment horizontal="right"/>
    </xf>
    <xf numFmtId="167" fontId="7" fillId="0" borderId="9" xfId="0" applyNumberFormat="1" applyFont="1" applyBorder="1" applyAlignment="1">
      <alignment horizontal="left"/>
    </xf>
    <xf numFmtId="167" fontId="4" fillId="0" borderId="0" xfId="0" applyNumberFormat="1" applyFont="1" applyAlignment="1">
      <alignment horizontal="left"/>
    </xf>
    <xf numFmtId="167" fontId="8" fillId="0" borderId="16" xfId="0" applyNumberFormat="1" applyFont="1" applyBorder="1"/>
    <xf numFmtId="167" fontId="21" fillId="0" borderId="0" xfId="0" applyNumberFormat="1" applyFont="1" applyAlignment="1">
      <alignment horizontal="left"/>
    </xf>
    <xf numFmtId="0" fontId="23" fillId="0" borderId="0" xfId="0" applyFont="1"/>
    <xf numFmtId="0" fontId="0" fillId="2" borderId="0" xfId="0" applyFill="1"/>
    <xf numFmtId="0" fontId="24" fillId="0" borderId="17" xfId="0" applyFont="1" applyBorder="1" applyAlignment="1">
      <alignment horizontal="right"/>
    </xf>
    <xf numFmtId="0" fontId="24" fillId="0" borderId="9" xfId="0" applyFont="1" applyBorder="1"/>
    <xf numFmtId="0" fontId="23" fillId="0" borderId="9" xfId="0" applyFont="1" applyBorder="1"/>
    <xf numFmtId="167" fontId="24" fillId="0" borderId="17" xfId="0" applyNumberFormat="1" applyFont="1" applyBorder="1" applyAlignment="1">
      <alignment horizontal="left" vertical="center"/>
    </xf>
    <xf numFmtId="0" fontId="24" fillId="0" borderId="0" xfId="0" applyFont="1" applyAlignment="1">
      <alignment horizontal="left" vertical="center"/>
    </xf>
    <xf numFmtId="0" fontId="24" fillId="0" borderId="0" xfId="0" applyFont="1"/>
    <xf numFmtId="0" fontId="25" fillId="0" borderId="0" xfId="0" applyFont="1"/>
    <xf numFmtId="0" fontId="24" fillId="0" borderId="18" xfId="0" applyFont="1" applyBorder="1"/>
    <xf numFmtId="167" fontId="25" fillId="0" borderId="0" xfId="0" applyNumberFormat="1" applyFont="1"/>
    <xf numFmtId="167" fontId="25" fillId="0" borderId="16" xfId="0" applyNumberFormat="1" applyFont="1" applyBorder="1"/>
    <xf numFmtId="167" fontId="24" fillId="0" borderId="0" xfId="0" applyNumberFormat="1" applyFont="1"/>
    <xf numFmtId="167" fontId="26" fillId="0" borderId="0" xfId="0" applyNumberFormat="1" applyFont="1"/>
    <xf numFmtId="167" fontId="24" fillId="0" borderId="16" xfId="0" applyNumberFormat="1" applyFont="1" applyBorder="1"/>
    <xf numFmtId="0" fontId="25" fillId="0" borderId="17" xfId="0" applyFont="1" applyBorder="1"/>
    <xf numFmtId="167" fontId="25" fillId="0" borderId="17" xfId="0" applyNumberFormat="1" applyFont="1" applyBorder="1"/>
    <xf numFmtId="167" fontId="23" fillId="0" borderId="0" xfId="0" applyNumberFormat="1" applyFont="1"/>
    <xf numFmtId="167" fontId="27" fillId="0" borderId="0" xfId="0" applyNumberFormat="1" applyFont="1" applyAlignment="1">
      <alignment horizontal="right"/>
    </xf>
    <xf numFmtId="167" fontId="27" fillId="0" borderId="0" xfId="0" applyNumberFormat="1" applyFont="1"/>
    <xf numFmtId="0" fontId="24" fillId="0" borderId="17" xfId="0" applyFont="1" applyBorder="1" applyAlignment="1">
      <alignment horizontal="left"/>
    </xf>
    <xf numFmtId="167" fontId="24" fillId="0" borderId="0" xfId="0" applyNumberFormat="1" applyFont="1" applyAlignment="1">
      <alignment horizontal="left" vertical="center"/>
    </xf>
    <xf numFmtId="167" fontId="25" fillId="0" borderId="0" xfId="0" applyNumberFormat="1" applyFont="1" applyAlignment="1">
      <alignment horizontal="left" vertical="center"/>
    </xf>
    <xf numFmtId="0" fontId="24" fillId="0" borderId="18" xfId="0" applyFont="1" applyBorder="1" applyAlignment="1">
      <alignment horizontal="center"/>
    </xf>
    <xf numFmtId="167" fontId="24" fillId="0" borderId="18" xfId="0" applyNumberFormat="1" applyFont="1" applyBorder="1" applyAlignment="1">
      <alignment horizontal="center"/>
    </xf>
    <xf numFmtId="167" fontId="24" fillId="0" borderId="0" xfId="0" applyNumberFormat="1" applyFont="1" applyAlignment="1">
      <alignment horizontal="center"/>
    </xf>
    <xf numFmtId="167" fontId="28" fillId="0" borderId="0" xfId="0" applyNumberFormat="1" applyFont="1"/>
    <xf numFmtId="0" fontId="29" fillId="0" borderId="17" xfId="0" applyFont="1" applyBorder="1"/>
    <xf numFmtId="167" fontId="30" fillId="0" borderId="0" xfId="0" applyNumberFormat="1" applyFont="1"/>
    <xf numFmtId="0" fontId="27" fillId="0" borderId="0" xfId="0" applyFont="1"/>
    <xf numFmtId="167" fontId="25" fillId="0" borderId="9" xfId="0" applyNumberFormat="1" applyFont="1" applyBorder="1"/>
    <xf numFmtId="3" fontId="27" fillId="0" borderId="0" xfId="0" applyNumberFormat="1" applyFont="1"/>
    <xf numFmtId="167" fontId="31" fillId="0" borderId="0" xfId="0" applyNumberFormat="1" applyFont="1"/>
    <xf numFmtId="0" fontId="29" fillId="0" borderId="0" xfId="0" applyFont="1"/>
    <xf numFmtId="167" fontId="32" fillId="0" borderId="0" xfId="0" applyNumberFormat="1" applyFont="1"/>
    <xf numFmtId="164" fontId="23" fillId="0" borderId="0" xfId="0" applyNumberFormat="1" applyFont="1"/>
    <xf numFmtId="0" fontId="28" fillId="0" borderId="0" xfId="0" applyFont="1"/>
    <xf numFmtId="167" fontId="29" fillId="0" borderId="0" xfId="0" applyNumberFormat="1" applyFont="1"/>
    <xf numFmtId="167" fontId="29" fillId="0" borderId="16" xfId="0" applyNumberFormat="1" applyFont="1" applyBorder="1"/>
    <xf numFmtId="167" fontId="29" fillId="0" borderId="17" xfId="0" applyNumberFormat="1" applyFont="1" applyBorder="1"/>
    <xf numFmtId="167" fontId="27" fillId="0" borderId="17" xfId="0" applyNumberFormat="1" applyFont="1" applyBorder="1"/>
    <xf numFmtId="167" fontId="7" fillId="0" borderId="0" xfId="0" applyNumberFormat="1" applyFont="1" applyAlignment="1">
      <alignment horizontal="right"/>
    </xf>
    <xf numFmtId="0" fontId="33" fillId="0" borderId="19" xfId="0" applyFont="1" applyBorder="1"/>
    <xf numFmtId="0" fontId="33" fillId="0" borderId="20" xfId="0" applyFont="1" applyBorder="1"/>
    <xf numFmtId="0" fontId="33" fillId="0" borderId="21" xfId="0" applyFont="1" applyBorder="1"/>
    <xf numFmtId="41" fontId="24" fillId="0" borderId="0" xfId="0" applyNumberFormat="1" applyFont="1" applyAlignment="1">
      <alignment horizontal="left" vertical="center"/>
    </xf>
    <xf numFmtId="41" fontId="25" fillId="0" borderId="0" xfId="0" applyNumberFormat="1" applyFont="1"/>
    <xf numFmtId="41" fontId="23" fillId="0" borderId="0" xfId="0" applyNumberFormat="1" applyFont="1"/>
    <xf numFmtId="41" fontId="25" fillId="0" borderId="0" xfId="0" applyNumberFormat="1" applyFont="1" applyAlignment="1">
      <alignment horizontal="left" vertical="center"/>
    </xf>
    <xf numFmtId="41" fontId="27" fillId="0" borderId="0" xfId="0" applyNumberFormat="1" applyFont="1"/>
    <xf numFmtId="3" fontId="7" fillId="0" borderId="0" xfId="0" applyNumberFormat="1" applyFont="1"/>
    <xf numFmtId="0" fontId="33" fillId="0" borderId="0" xfId="0" applyFont="1"/>
    <xf numFmtId="0" fontId="34" fillId="0" borderId="0" xfId="0" applyFont="1" applyAlignment="1">
      <alignment horizontal="right"/>
    </xf>
    <xf numFmtId="0" fontId="6" fillId="0" borderId="0" xfId="0" applyFont="1" applyAlignment="1">
      <alignment horizontal="right"/>
    </xf>
    <xf numFmtId="0" fontId="35" fillId="0" borderId="0" xfId="0" applyFont="1" applyAlignment="1">
      <alignment horizontal="left"/>
    </xf>
    <xf numFmtId="0" fontId="34" fillId="0" borderId="0" xfId="0" applyFont="1" applyAlignment="1">
      <alignment horizontal="left" vertical="center"/>
    </xf>
    <xf numFmtId="0" fontId="34" fillId="0" borderId="17" xfId="0" applyFont="1" applyBorder="1" applyAlignment="1">
      <alignment horizontal="right"/>
    </xf>
    <xf numFmtId="0" fontId="36" fillId="0" borderId="17" xfId="0" applyFont="1" applyBorder="1" applyAlignment="1">
      <alignment horizontal="right"/>
    </xf>
    <xf numFmtId="0" fontId="6" fillId="0" borderId="17" xfId="0" applyFont="1" applyBorder="1"/>
    <xf numFmtId="0" fontId="34" fillId="0" borderId="17" xfId="0" applyFont="1" applyBorder="1" applyAlignment="1">
      <alignment horizontal="left" vertical="center"/>
    </xf>
    <xf numFmtId="0" fontId="37" fillId="0" borderId="0" xfId="0" applyFont="1"/>
    <xf numFmtId="0" fontId="38" fillId="0" borderId="0" xfId="0" applyFont="1"/>
    <xf numFmtId="0" fontId="37" fillId="0" borderId="18" xfId="0" applyFont="1" applyBorder="1"/>
    <xf numFmtId="167" fontId="38" fillId="0" borderId="0" xfId="0" applyNumberFormat="1" applyFont="1"/>
    <xf numFmtId="167" fontId="38" fillId="0" borderId="16" xfId="0" applyNumberFormat="1" applyFont="1" applyBorder="1"/>
    <xf numFmtId="167" fontId="37" fillId="0" borderId="0" xfId="0" applyNumberFormat="1" applyFont="1"/>
    <xf numFmtId="167" fontId="39" fillId="0" borderId="0" xfId="0" applyNumberFormat="1" applyFont="1"/>
    <xf numFmtId="167" fontId="37" fillId="0" borderId="16" xfId="0" applyNumberFormat="1" applyFont="1" applyBorder="1"/>
    <xf numFmtId="0" fontId="38" fillId="0" borderId="17" xfId="0" applyFont="1" applyBorder="1"/>
    <xf numFmtId="167" fontId="38" fillId="0" borderId="17" xfId="0" applyNumberFormat="1" applyFont="1" applyBorder="1"/>
    <xf numFmtId="167" fontId="40" fillId="0" borderId="0" xfId="0" applyNumberFormat="1" applyFont="1" applyAlignment="1">
      <alignment horizontal="right"/>
    </xf>
    <xf numFmtId="167" fontId="41" fillId="0" borderId="0" xfId="0" applyNumberFormat="1" applyFont="1"/>
    <xf numFmtId="0" fontId="42" fillId="0" borderId="0" xfId="0" applyFont="1"/>
    <xf numFmtId="168" fontId="38" fillId="0" borderId="0" xfId="0" applyNumberFormat="1" applyFont="1" applyAlignment="1">
      <alignment horizontal="left"/>
    </xf>
    <xf numFmtId="167" fontId="41" fillId="0" borderId="0" xfId="0" applyNumberFormat="1" applyFont="1" applyAlignment="1">
      <alignment horizontal="right"/>
    </xf>
    <xf numFmtId="167" fontId="15" fillId="0" borderId="0" xfId="0" applyNumberFormat="1" applyFont="1"/>
    <xf numFmtId="167" fontId="43" fillId="0" borderId="0" xfId="0" applyNumberFormat="1" applyFont="1"/>
    <xf numFmtId="0" fontId="44" fillId="0" borderId="17" xfId="0" applyFont="1" applyBorder="1" applyAlignment="1">
      <alignment horizontal="right"/>
    </xf>
    <xf numFmtId="167" fontId="36" fillId="0" borderId="17" xfId="0" applyNumberFormat="1" applyFont="1" applyBorder="1" applyAlignment="1">
      <alignment horizontal="right" vertical="center"/>
    </xf>
    <xf numFmtId="167" fontId="34" fillId="0" borderId="17" xfId="0" applyNumberFormat="1" applyFont="1" applyBorder="1" applyAlignment="1">
      <alignment horizontal="left" vertical="center"/>
    </xf>
    <xf numFmtId="167" fontId="7" fillId="0" borderId="2" xfId="0" applyNumberFormat="1" applyFont="1" applyBorder="1"/>
    <xf numFmtId="0" fontId="37" fillId="0" borderId="0" xfId="0" applyFont="1" applyAlignment="1">
      <alignment horizontal="left" vertical="center"/>
    </xf>
    <xf numFmtId="167" fontId="37" fillId="0" borderId="0" xfId="0" applyNumberFormat="1" applyFont="1" applyAlignment="1">
      <alignment horizontal="left" vertical="center"/>
    </xf>
    <xf numFmtId="167" fontId="38" fillId="0" borderId="0" xfId="0" applyNumberFormat="1" applyFont="1" applyAlignment="1">
      <alignment horizontal="left" vertical="center"/>
    </xf>
    <xf numFmtId="167" fontId="7" fillId="0" borderId="10" xfId="0" applyNumberFormat="1" applyFont="1" applyBorder="1"/>
    <xf numFmtId="0" fontId="37" fillId="0" borderId="18" xfId="0" applyFont="1" applyBorder="1" applyAlignment="1">
      <alignment horizontal="center"/>
    </xf>
    <xf numFmtId="167" fontId="37" fillId="0" borderId="18" xfId="0" applyNumberFormat="1" applyFont="1" applyBorder="1" applyAlignment="1">
      <alignment horizontal="center"/>
    </xf>
    <xf numFmtId="167" fontId="34" fillId="0" borderId="0" xfId="0" applyNumberFormat="1" applyFont="1" applyAlignment="1">
      <alignment horizontal="left" vertical="center"/>
    </xf>
    <xf numFmtId="167" fontId="34" fillId="0" borderId="7" xfId="0" applyNumberFormat="1" applyFont="1" applyBorder="1" applyAlignment="1">
      <alignment horizontal="left" vertical="center"/>
    </xf>
    <xf numFmtId="0" fontId="19" fillId="0" borderId="0" xfId="0" applyFont="1"/>
    <xf numFmtId="0" fontId="37" fillId="0" borderId="0" xfId="0" applyFont="1" applyAlignment="1">
      <alignment horizontal="center"/>
    </xf>
    <xf numFmtId="167" fontId="37" fillId="0" borderId="0" xfId="0" applyNumberFormat="1" applyFont="1" applyAlignment="1">
      <alignment horizontal="center"/>
    </xf>
    <xf numFmtId="167" fontId="45" fillId="0" borderId="0" xfId="0" applyNumberFormat="1" applyFont="1"/>
    <xf numFmtId="167" fontId="46" fillId="0" borderId="0" xfId="0" applyNumberFormat="1" applyFont="1"/>
    <xf numFmtId="167" fontId="14" fillId="0" borderId="0" xfId="0" applyNumberFormat="1" applyFont="1"/>
    <xf numFmtId="167" fontId="47" fillId="3" borderId="0" xfId="0" applyNumberFormat="1" applyFont="1" applyFill="1" applyAlignment="1">
      <alignment horizontal="left" vertical="center"/>
    </xf>
    <xf numFmtId="0" fontId="13" fillId="0" borderId="17" xfId="0" applyFont="1" applyBorder="1"/>
    <xf numFmtId="167" fontId="48" fillId="3" borderId="0" xfId="0" applyNumberFormat="1" applyFont="1" applyFill="1" applyAlignment="1">
      <alignment horizontal="center"/>
    </xf>
    <xf numFmtId="0" fontId="0" fillId="0" borderId="2" xfId="0" applyBorder="1"/>
    <xf numFmtId="167" fontId="38" fillId="0" borderId="9" xfId="0" applyNumberFormat="1" applyFont="1" applyBorder="1"/>
    <xf numFmtId="167" fontId="37" fillId="0" borderId="7" xfId="0" applyNumberFormat="1" applyFont="1" applyBorder="1" applyAlignment="1">
      <alignment horizontal="left"/>
    </xf>
    <xf numFmtId="167" fontId="49" fillId="0" borderId="0" xfId="0" applyNumberFormat="1" applyFont="1"/>
    <xf numFmtId="167" fontId="13" fillId="0" borderId="0" xfId="0" applyNumberFormat="1" applyFont="1"/>
    <xf numFmtId="167" fontId="50" fillId="0" borderId="0" xfId="0" applyNumberFormat="1" applyFont="1"/>
    <xf numFmtId="167" fontId="14" fillId="0" borderId="2" xfId="0" applyNumberFormat="1" applyFont="1" applyBorder="1"/>
    <xf numFmtId="167" fontId="13" fillId="0" borderId="10" xfId="0" applyNumberFormat="1" applyFont="1" applyBorder="1"/>
    <xf numFmtId="0" fontId="45" fillId="0" borderId="0" xfId="0" applyFont="1"/>
    <xf numFmtId="167" fontId="51" fillId="0" borderId="0" xfId="0" applyNumberFormat="1" applyFont="1"/>
    <xf numFmtId="167" fontId="14" fillId="0" borderId="7" xfId="0" applyNumberFormat="1" applyFont="1" applyBorder="1"/>
    <xf numFmtId="167" fontId="13" fillId="0" borderId="2" xfId="0" applyNumberFormat="1" applyFont="1" applyBorder="1"/>
    <xf numFmtId="0" fontId="52" fillId="0" borderId="0" xfId="0" applyFont="1"/>
    <xf numFmtId="167" fontId="14" fillId="0" borderId="10" xfId="0" applyNumberFormat="1" applyFont="1" applyBorder="1"/>
    <xf numFmtId="164" fontId="14" fillId="0" borderId="7" xfId="0" applyNumberFormat="1" applyFont="1" applyBorder="1"/>
    <xf numFmtId="0" fontId="53" fillId="0" borderId="0" xfId="0" applyFont="1"/>
    <xf numFmtId="0" fontId="6" fillId="0" borderId="2" xfId="0" applyFont="1" applyBorder="1"/>
    <xf numFmtId="0" fontId="0" fillId="0" borderId="7" xfId="0" applyBorder="1"/>
    <xf numFmtId="41" fontId="34" fillId="0" borderId="0" xfId="0" applyNumberFormat="1" applyFont="1" applyAlignment="1">
      <alignment horizontal="left" vertical="center"/>
    </xf>
    <xf numFmtId="41" fontId="38" fillId="0" borderId="0" xfId="0" applyNumberFormat="1" applyFont="1"/>
    <xf numFmtId="41" fontId="54" fillId="0" borderId="0" xfId="0" applyNumberFormat="1" applyFont="1"/>
    <xf numFmtId="41" fontId="0" fillId="0" borderId="6" xfId="0" applyNumberFormat="1" applyBorder="1"/>
    <xf numFmtId="167" fontId="0" fillId="0" borderId="6" xfId="0" applyNumberFormat="1" applyBorder="1"/>
    <xf numFmtId="167" fontId="0" fillId="0" borderId="3" xfId="0" applyNumberFormat="1" applyBorder="1"/>
    <xf numFmtId="167" fontId="0" fillId="0" borderId="9" xfId="0" applyNumberFormat="1" applyBorder="1"/>
    <xf numFmtId="167" fontId="0" fillId="0" borderId="11" xfId="0" applyNumberFormat="1" applyBorder="1"/>
    <xf numFmtId="41" fontId="34" fillId="0" borderId="9" xfId="0" applyNumberFormat="1" applyFont="1" applyBorder="1" applyAlignment="1">
      <alignment horizontal="left" vertical="center"/>
    </xf>
    <xf numFmtId="164" fontId="6" fillId="0" borderId="9" xfId="0" applyNumberFormat="1" applyFont="1" applyBorder="1"/>
    <xf numFmtId="167" fontId="0" fillId="0" borderId="8" xfId="0" applyNumberFormat="1" applyBorder="1"/>
    <xf numFmtId="41" fontId="38" fillId="0" borderId="0" xfId="0" applyNumberFormat="1" applyFont="1" applyAlignment="1">
      <alignment horizontal="left" vertical="center"/>
    </xf>
    <xf numFmtId="0" fontId="0" fillId="0" borderId="6" xfId="0" applyBorder="1"/>
    <xf numFmtId="41" fontId="0" fillId="0" borderId="9" xfId="0" applyNumberFormat="1" applyBorder="1"/>
    <xf numFmtId="0" fontId="0" fillId="0" borderId="9" xfId="0" applyBorder="1"/>
    <xf numFmtId="0" fontId="0" fillId="0" borderId="8" xfId="0" applyBorder="1"/>
    <xf numFmtId="164" fontId="0" fillId="0" borderId="9" xfId="0" applyNumberFormat="1" applyBorder="1"/>
    <xf numFmtId="41" fontId="8" fillId="0" borderId="6" xfId="0" applyNumberFormat="1" applyFont="1" applyBorder="1"/>
    <xf numFmtId="164" fontId="6" fillId="0" borderId="6" xfId="0" applyNumberFormat="1" applyFont="1" applyBorder="1"/>
    <xf numFmtId="164" fontId="14" fillId="0" borderId="0" xfId="0" applyNumberFormat="1" applyFont="1"/>
    <xf numFmtId="164" fontId="14" fillId="0" borderId="9" xfId="0" applyNumberFormat="1" applyFont="1" applyBorder="1"/>
    <xf numFmtId="167" fontId="0" fillId="0" borderId="5" xfId="0" applyNumberFormat="1" applyBorder="1"/>
    <xf numFmtId="167" fontId="7" fillId="0" borderId="6" xfId="0" applyNumberFormat="1" applyFont="1" applyBorder="1"/>
    <xf numFmtId="164" fontId="6" fillId="0" borderId="0" xfId="0" applyNumberFormat="1" applyFont="1"/>
    <xf numFmtId="41" fontId="6" fillId="0" borderId="6" xfId="0" applyNumberFormat="1" applyFont="1" applyBorder="1"/>
    <xf numFmtId="167" fontId="0" fillId="0" borderId="12" xfId="0" applyNumberFormat="1" applyBorder="1"/>
    <xf numFmtId="167" fontId="0" fillId="0" borderId="10" xfId="0" applyNumberFormat="1" applyBorder="1"/>
    <xf numFmtId="167" fontId="0" fillId="0" borderId="7" xfId="0" applyNumberFormat="1" applyBorder="1"/>
    <xf numFmtId="167" fontId="13" fillId="0" borderId="17" xfId="0" applyNumberFormat="1" applyFont="1" applyBorder="1"/>
    <xf numFmtId="167" fontId="13" fillId="0" borderId="18" xfId="0" applyNumberFormat="1" applyFont="1" applyBorder="1"/>
    <xf numFmtId="167" fontId="38" fillId="0" borderId="7" xfId="0" applyNumberFormat="1" applyFont="1" applyBorder="1"/>
    <xf numFmtId="167" fontId="14" fillId="0" borderId="0" xfId="0" applyNumberFormat="1" applyFont="1" applyAlignment="1">
      <alignment horizontal="right"/>
    </xf>
    <xf numFmtId="167" fontId="13" fillId="0" borderId="0" xfId="0" applyNumberFormat="1" applyFont="1" applyAlignment="1">
      <alignment horizontal="right"/>
    </xf>
    <xf numFmtId="167" fontId="55" fillId="0" borderId="0" xfId="0" applyNumberFormat="1" applyFont="1"/>
    <xf numFmtId="167" fontId="36" fillId="0" borderId="17" xfId="0" applyNumberFormat="1" applyFont="1" applyBorder="1" applyAlignment="1">
      <alignment horizontal="right"/>
    </xf>
    <xf numFmtId="167" fontId="34" fillId="0" borderId="17" xfId="0" applyNumberFormat="1" applyFont="1" applyBorder="1"/>
    <xf numFmtId="167" fontId="40" fillId="0" borderId="0" xfId="0" applyNumberFormat="1" applyFont="1"/>
    <xf numFmtId="0" fontId="56" fillId="0" borderId="0" xfId="0" applyFont="1" applyAlignment="1">
      <alignment horizontal="left"/>
    </xf>
    <xf numFmtId="0" fontId="57" fillId="0" borderId="0" xfId="0" applyFont="1"/>
    <xf numFmtId="41" fontId="8" fillId="0" borderId="0" xfId="0" applyNumberFormat="1" applyFont="1"/>
    <xf numFmtId="0" fontId="34" fillId="0" borderId="0" xfId="0" applyFont="1"/>
    <xf numFmtId="167" fontId="38" fillId="0" borderId="0" xfId="0" applyNumberFormat="1" applyFont="1" applyAlignment="1">
      <alignment horizontal="right"/>
    </xf>
    <xf numFmtId="0" fontId="37" fillId="0" borderId="0" xfId="0" applyFont="1" applyAlignment="1">
      <alignment horizontal="right"/>
    </xf>
    <xf numFmtId="167" fontId="58" fillId="0" borderId="0" xfId="0" applyNumberFormat="1" applyFont="1"/>
    <xf numFmtId="0" fontId="37" fillId="0" borderId="17" xfId="0" applyFont="1" applyBorder="1" applyAlignment="1">
      <alignment horizontal="center"/>
    </xf>
    <xf numFmtId="167" fontId="14" fillId="0" borderId="9" xfId="0" applyNumberFormat="1" applyFont="1" applyBorder="1"/>
    <xf numFmtId="167" fontId="6" fillId="0" borderId="17" xfId="0" applyNumberFormat="1" applyFont="1" applyBorder="1"/>
    <xf numFmtId="0" fontId="59" fillId="0" borderId="0" xfId="0" applyFont="1"/>
    <xf numFmtId="167" fontId="60" fillId="0" borderId="0" xfId="0" applyNumberFormat="1" applyFont="1"/>
    <xf numFmtId="3" fontId="7" fillId="0" borderId="9" xfId="0" applyNumberFormat="1" applyFont="1" applyBorder="1"/>
    <xf numFmtId="167" fontId="13" fillId="0" borderId="16" xfId="0" applyNumberFormat="1" applyFont="1" applyBorder="1"/>
    <xf numFmtId="14" fontId="38" fillId="0" borderId="0" xfId="0" applyNumberFormat="1" applyFont="1"/>
    <xf numFmtId="167" fontId="61" fillId="0" borderId="0" xfId="0" applyNumberFormat="1" applyFont="1"/>
    <xf numFmtId="14" fontId="38" fillId="2" borderId="0" xfId="0" applyNumberFormat="1" applyFont="1" applyFill="1"/>
    <xf numFmtId="167" fontId="13" fillId="2" borderId="0" xfId="0" applyNumberFormat="1" applyFont="1" applyFill="1" applyAlignment="1">
      <alignment horizontal="right"/>
    </xf>
    <xf numFmtId="167" fontId="15" fillId="2" borderId="0" xfId="0" applyNumberFormat="1" applyFont="1" applyFill="1"/>
    <xf numFmtId="167" fontId="7" fillId="2" borderId="0" xfId="0" applyNumberFormat="1" applyFont="1" applyFill="1" applyAlignment="1">
      <alignment horizontal="right"/>
    </xf>
    <xf numFmtId="0" fontId="23" fillId="2" borderId="0" xfId="0" applyFont="1" applyFill="1"/>
    <xf numFmtId="167" fontId="14" fillId="2" borderId="0" xfId="0" applyNumberFormat="1" applyFont="1" applyFill="1"/>
    <xf numFmtId="167" fontId="38" fillId="2" borderId="0" xfId="0" applyNumberFormat="1" applyFont="1" applyFill="1"/>
    <xf numFmtId="167" fontId="13" fillId="2" borderId="10" xfId="0" applyNumberFormat="1" applyFont="1" applyFill="1" applyBorder="1"/>
    <xf numFmtId="41" fontId="0" fillId="2" borderId="0" xfId="0" applyNumberFormat="1" applyFill="1"/>
    <xf numFmtId="167" fontId="0" fillId="2" borderId="0" xfId="0" applyNumberFormat="1" applyFill="1"/>
    <xf numFmtId="167" fontId="0" fillId="2" borderId="11" xfId="0" applyNumberFormat="1" applyFill="1" applyBorder="1"/>
    <xf numFmtId="41" fontId="62" fillId="0" borderId="0" xfId="0" applyNumberFormat="1" applyFont="1"/>
    <xf numFmtId="43" fontId="0" fillId="0" borderId="0" xfId="0" applyNumberFormat="1"/>
    <xf numFmtId="0" fontId="6" fillId="0" borderId="0" xfId="0" applyFont="1" applyAlignment="1">
      <alignment vertical="top" wrapText="1"/>
    </xf>
    <xf numFmtId="167" fontId="8" fillId="0" borderId="0" xfId="0" applyNumberFormat="1" applyFont="1"/>
    <xf numFmtId="0" fontId="0" fillId="4" borderId="0" xfId="0" applyFill="1"/>
    <xf numFmtId="0" fontId="0" fillId="5" borderId="0" xfId="0" applyFill="1"/>
    <xf numFmtId="0" fontId="63" fillId="0" borderId="0" xfId="0" applyFont="1"/>
    <xf numFmtId="0" fontId="0" fillId="0" borderId="0" xfId="0" applyAlignment="1">
      <alignment horizontal="left" vertical="center"/>
    </xf>
    <xf numFmtId="0" fontId="0" fillId="4" borderId="0" xfId="0" applyFill="1" applyAlignment="1">
      <alignment horizontal="left" vertical="center"/>
    </xf>
    <xf numFmtId="0" fontId="64" fillId="4" borderId="0" xfId="0" applyFont="1" applyFill="1"/>
    <xf numFmtId="0" fontId="65" fillId="0" borderId="0" xfId="0" applyFont="1"/>
    <xf numFmtId="0" fontId="66" fillId="4" borderId="0" xfId="0" applyFont="1" applyFill="1"/>
    <xf numFmtId="0" fontId="65" fillId="4" borderId="0" xfId="0" applyFont="1" applyFill="1"/>
    <xf numFmtId="0" fontId="65" fillId="0" borderId="22" xfId="0" applyFont="1" applyBorder="1"/>
    <xf numFmtId="0" fontId="65" fillId="0" borderId="23" xfId="0" applyFont="1" applyBorder="1"/>
    <xf numFmtId="0" fontId="66" fillId="4" borderId="23" xfId="0" applyFont="1" applyFill="1" applyBorder="1"/>
    <xf numFmtId="0" fontId="65" fillId="4" borderId="23" xfId="0" applyFont="1" applyFill="1" applyBorder="1"/>
    <xf numFmtId="0" fontId="65" fillId="0" borderId="24" xfId="0" applyFont="1" applyBorder="1"/>
    <xf numFmtId="0" fontId="67" fillId="6" borderId="4" xfId="0" applyFont="1" applyFill="1" applyBorder="1"/>
    <xf numFmtId="0" fontId="67" fillId="6" borderId="12" xfId="0" applyFont="1" applyFill="1" applyBorder="1"/>
    <xf numFmtId="0" fontId="65" fillId="6" borderId="12" xfId="0" applyFont="1" applyFill="1" applyBorder="1"/>
    <xf numFmtId="0" fontId="65" fillId="6" borderId="5" xfId="0" applyFont="1" applyFill="1" applyBorder="1"/>
    <xf numFmtId="0" fontId="65" fillId="7" borderId="4" xfId="0" applyFont="1" applyFill="1" applyBorder="1"/>
    <xf numFmtId="0" fontId="66" fillId="7" borderId="12" xfId="0" applyFont="1" applyFill="1" applyBorder="1"/>
    <xf numFmtId="0" fontId="68" fillId="7" borderId="12" xfId="0" applyFont="1" applyFill="1" applyBorder="1"/>
    <xf numFmtId="0" fontId="65" fillId="7" borderId="12" xfId="0" applyFont="1" applyFill="1" applyBorder="1"/>
    <xf numFmtId="0" fontId="65" fillId="7" borderId="5" xfId="0" applyFont="1" applyFill="1" applyBorder="1"/>
    <xf numFmtId="0" fontId="69" fillId="7" borderId="4" xfId="0" applyFont="1" applyFill="1" applyBorder="1"/>
    <xf numFmtId="0" fontId="65" fillId="4" borderId="0" xfId="2" applyFont="1" applyFill="1"/>
    <xf numFmtId="0" fontId="67" fillId="4" borderId="0" xfId="2" applyFont="1" applyFill="1"/>
    <xf numFmtId="0" fontId="65" fillId="7" borderId="4" xfId="2" applyFont="1" applyFill="1" applyBorder="1"/>
    <xf numFmtId="0" fontId="66" fillId="7" borderId="12" xfId="2" applyFont="1" applyFill="1" applyBorder="1"/>
    <xf numFmtId="0" fontId="65" fillId="7" borderId="12" xfId="2" applyFont="1" applyFill="1" applyBorder="1"/>
    <xf numFmtId="0" fontId="65" fillId="7" borderId="5" xfId="2" applyFont="1" applyFill="1" applyBorder="1"/>
    <xf numFmtId="0" fontId="70" fillId="7" borderId="4" xfId="2" applyFont="1" applyFill="1" applyBorder="1"/>
    <xf numFmtId="0" fontId="66" fillId="4" borderId="0" xfId="2" applyFont="1" applyFill="1"/>
    <xf numFmtId="0" fontId="71" fillId="4" borderId="0" xfId="2" applyFont="1" applyFill="1"/>
    <xf numFmtId="0" fontId="71" fillId="7" borderId="4" xfId="2" applyFont="1" applyFill="1" applyBorder="1"/>
    <xf numFmtId="0" fontId="69" fillId="4" borderId="0" xfId="2" applyFont="1" applyFill="1"/>
    <xf numFmtId="0" fontId="69" fillId="7" borderId="4" xfId="2" applyFont="1" applyFill="1" applyBorder="1"/>
    <xf numFmtId="14" fontId="71" fillId="4" borderId="0" xfId="2" applyNumberFormat="1" applyFont="1" applyFill="1"/>
    <xf numFmtId="0" fontId="71" fillId="4" borderId="0" xfId="0" applyFont="1" applyFill="1"/>
    <xf numFmtId="0" fontId="72" fillId="4" borderId="0" xfId="2" applyFont="1" applyFill="1"/>
    <xf numFmtId="0" fontId="73" fillId="4" borderId="0" xfId="0" applyFont="1" applyFill="1"/>
    <xf numFmtId="0" fontId="74" fillId="4" borderId="0" xfId="0" applyFont="1" applyFill="1"/>
    <xf numFmtId="164" fontId="67" fillId="7" borderId="4" xfId="0" applyNumberFormat="1" applyFont="1" applyFill="1" applyBorder="1"/>
    <xf numFmtId="0" fontId="69" fillId="4" borderId="0" xfId="0" applyFont="1" applyFill="1"/>
    <xf numFmtId="0" fontId="75" fillId="4" borderId="0" xfId="2" applyFont="1" applyFill="1"/>
    <xf numFmtId="0" fontId="65" fillId="7" borderId="0" xfId="0" applyFont="1" applyFill="1"/>
    <xf numFmtId="0" fontId="66" fillId="7" borderId="0" xfId="0" applyFont="1" applyFill="1"/>
    <xf numFmtId="0" fontId="71" fillId="7" borderId="0" xfId="2" applyFont="1" applyFill="1"/>
    <xf numFmtId="0" fontId="0" fillId="0" borderId="25" xfId="0" applyBorder="1"/>
    <xf numFmtId="0" fontId="0" fillId="0" borderId="26" xfId="0" applyBorder="1"/>
    <xf numFmtId="0" fontId="64" fillId="4" borderId="26" xfId="0" applyFont="1" applyFill="1" applyBorder="1"/>
    <xf numFmtId="0" fontId="0" fillId="4" borderId="26" xfId="0" applyFill="1" applyBorder="1"/>
    <xf numFmtId="0" fontId="76" fillId="0" borderId="26" xfId="0" applyFont="1" applyBorder="1"/>
    <xf numFmtId="0" fontId="0" fillId="0" borderId="22" xfId="0" applyBorder="1"/>
    <xf numFmtId="0" fontId="0" fillId="0" borderId="23" xfId="0" applyBorder="1"/>
    <xf numFmtId="0" fontId="64" fillId="4" borderId="23" xfId="0" applyFont="1" applyFill="1" applyBorder="1"/>
    <xf numFmtId="0" fontId="0" fillId="4" borderId="23" xfId="0" applyFill="1" applyBorder="1"/>
    <xf numFmtId="0" fontId="0" fillId="0" borderId="24" xfId="0" applyBorder="1"/>
    <xf numFmtId="0" fontId="65" fillId="0" borderId="27" xfId="0" applyFont="1" applyBorder="1"/>
    <xf numFmtId="0" fontId="65" fillId="0" borderId="28" xfId="0" applyFont="1" applyBorder="1"/>
    <xf numFmtId="0" fontId="69" fillId="7" borderId="12" xfId="0" applyFont="1" applyFill="1" applyBorder="1"/>
    <xf numFmtId="0" fontId="69" fillId="7" borderId="29" xfId="0" applyFont="1" applyFill="1" applyBorder="1"/>
    <xf numFmtId="0" fontId="77" fillId="0" borderId="0" xfId="2" applyFont="1"/>
    <xf numFmtId="0" fontId="14" fillId="0" borderId="0" xfId="2" applyFont="1"/>
    <xf numFmtId="0" fontId="69" fillId="4" borderId="28" xfId="2" applyFont="1" applyFill="1" applyBorder="1"/>
    <xf numFmtId="0" fontId="78" fillId="0" borderId="2" xfId="0" applyFont="1" applyBorder="1"/>
    <xf numFmtId="0" fontId="14" fillId="0" borderId="6" xfId="2" applyFont="1" applyBorder="1"/>
    <xf numFmtId="0" fontId="79" fillId="0" borderId="3" xfId="2" applyFont="1" applyBorder="1"/>
    <xf numFmtId="0" fontId="71" fillId="7" borderId="12" xfId="2" applyFont="1" applyFill="1" applyBorder="1"/>
    <xf numFmtId="0" fontId="71" fillId="7" borderId="29" xfId="2" applyFont="1" applyFill="1" applyBorder="1"/>
    <xf numFmtId="1" fontId="0" fillId="2" borderId="13" xfId="0" applyNumberFormat="1" applyFill="1" applyBorder="1"/>
    <xf numFmtId="0" fontId="27" fillId="0" borderId="11" xfId="2" applyFont="1" applyBorder="1"/>
    <xf numFmtId="0" fontId="71" fillId="4" borderId="28" xfId="2" applyFont="1" applyFill="1" applyBorder="1"/>
    <xf numFmtId="1" fontId="80" fillId="0" borderId="30" xfId="0" applyNumberFormat="1" applyFont="1"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1" fontId="0" fillId="0" borderId="33" xfId="0" applyNumberFormat="1" applyBorder="1" applyAlignment="1">
      <alignment horizontal="center"/>
    </xf>
    <xf numFmtId="0" fontId="81" fillId="4" borderId="28" xfId="2" applyFont="1" applyFill="1" applyBorder="1"/>
    <xf numFmtId="0" fontId="14" fillId="0" borderId="9" xfId="2" applyFont="1" applyBorder="1"/>
    <xf numFmtId="0" fontId="79" fillId="0" borderId="8" xfId="2" applyFont="1" applyBorder="1"/>
    <xf numFmtId="0" fontId="69" fillId="7" borderId="12" xfId="2" applyFont="1" applyFill="1" applyBorder="1"/>
    <xf numFmtId="0" fontId="81" fillId="7" borderId="29" xfId="2" applyFont="1" applyFill="1" applyBorder="1"/>
    <xf numFmtId="0" fontId="29" fillId="0" borderId="0" xfId="2" applyFont="1"/>
    <xf numFmtId="0" fontId="8" fillId="0" borderId="0" xfId="2" applyFont="1"/>
    <xf numFmtId="0" fontId="6" fillId="0" borderId="0" xfId="2" applyFont="1"/>
    <xf numFmtId="0" fontId="27" fillId="0" borderId="6" xfId="2" applyFont="1" applyBorder="1"/>
    <xf numFmtId="0" fontId="14" fillId="2" borderId="1" xfId="2" applyFont="1" applyFill="1" applyBorder="1"/>
    <xf numFmtId="0" fontId="7" fillId="0" borderId="0" xfId="2" applyFont="1"/>
    <xf numFmtId="0" fontId="0" fillId="0" borderId="11" xfId="0" applyBorder="1"/>
    <xf numFmtId="0" fontId="7" fillId="0" borderId="9" xfId="2" applyFont="1" applyBorder="1"/>
    <xf numFmtId="0" fontId="27" fillId="0" borderId="8" xfId="2" applyFont="1" applyBorder="1"/>
    <xf numFmtId="0" fontId="27" fillId="0" borderId="0" xfId="2" applyFont="1"/>
    <xf numFmtId="9" fontId="7" fillId="4" borderId="6" xfId="2" applyNumberFormat="1" applyFont="1" applyFill="1" applyBorder="1"/>
    <xf numFmtId="9" fontId="7" fillId="4" borderId="4" xfId="2" applyNumberFormat="1" applyFont="1" applyFill="1" applyBorder="1"/>
    <xf numFmtId="0" fontId="7" fillId="2" borderId="1" xfId="0" applyFont="1" applyFill="1" applyBorder="1"/>
    <xf numFmtId="9" fontId="7" fillId="4" borderId="9" xfId="2" applyNumberFormat="1" applyFont="1" applyFill="1" applyBorder="1"/>
    <xf numFmtId="9" fontId="7" fillId="4" borderId="8" xfId="2" applyNumberFormat="1" applyFont="1" applyFill="1" applyBorder="1"/>
    <xf numFmtId="0" fontId="17" fillId="0" borderId="6" xfId="2" applyFont="1" applyBorder="1"/>
    <xf numFmtId="164" fontId="7" fillId="0" borderId="3" xfId="2" applyNumberFormat="1" applyFont="1" applyBorder="1"/>
    <xf numFmtId="164" fontId="7" fillId="2" borderId="1" xfId="2" applyNumberFormat="1" applyFont="1" applyFill="1" applyBorder="1"/>
    <xf numFmtId="0" fontId="81" fillId="4" borderId="0" xfId="0" applyFont="1" applyFill="1"/>
    <xf numFmtId="0" fontId="81" fillId="4" borderId="28" xfId="0" applyFont="1" applyFill="1" applyBorder="1" applyAlignment="1">
      <alignment horizontal="center"/>
    </xf>
    <xf numFmtId="0" fontId="7" fillId="0" borderId="8" xfId="2" applyFont="1" applyBorder="1"/>
    <xf numFmtId="0" fontId="81" fillId="7" borderId="12" xfId="2" applyFont="1" applyFill="1" applyBorder="1"/>
    <xf numFmtId="0" fontId="82" fillId="0" borderId="0" xfId="2" applyFont="1"/>
    <xf numFmtId="0" fontId="81" fillId="4" borderId="0" xfId="2" applyFont="1" applyFill="1"/>
    <xf numFmtId="0" fontId="7" fillId="0" borderId="6" xfId="2" applyFont="1" applyBorder="1"/>
    <xf numFmtId="0" fontId="27" fillId="8" borderId="1" xfId="2" applyFont="1" applyFill="1" applyBorder="1"/>
    <xf numFmtId="0" fontId="69" fillId="7" borderId="29" xfId="2" applyFont="1" applyFill="1" applyBorder="1"/>
    <xf numFmtId="14" fontId="14" fillId="0" borderId="0" xfId="2" applyNumberFormat="1" applyFont="1"/>
    <xf numFmtId="0" fontId="0" fillId="0" borderId="13" xfId="0" applyBorder="1"/>
    <xf numFmtId="167" fontId="7" fillId="4" borderId="4" xfId="2" applyNumberFormat="1" applyFont="1" applyFill="1" applyBorder="1"/>
    <xf numFmtId="0" fontId="0" fillId="0" borderId="10" xfId="0" applyBorder="1"/>
    <xf numFmtId="167" fontId="7" fillId="2" borderId="10" xfId="2" applyNumberFormat="1" applyFont="1" applyFill="1" applyBorder="1"/>
    <xf numFmtId="9" fontId="7" fillId="4" borderId="5" xfId="2" applyNumberFormat="1" applyFont="1" applyFill="1" applyBorder="1"/>
    <xf numFmtId="167" fontId="22" fillId="0" borderId="0" xfId="0" applyNumberFormat="1" applyFont="1" applyAlignment="1">
      <alignment horizontal="center"/>
    </xf>
    <xf numFmtId="167" fontId="4" fillId="0" borderId="12" xfId="0" applyNumberFormat="1" applyFont="1" applyBorder="1" applyAlignment="1">
      <alignment horizontal="center"/>
    </xf>
    <xf numFmtId="167" fontId="4" fillId="0" borderId="0" xfId="0" applyNumberFormat="1" applyFont="1" applyAlignment="1">
      <alignment horizontal="center"/>
    </xf>
    <xf numFmtId="167" fontId="83" fillId="2" borderId="1" xfId="0" applyNumberFormat="1" applyFont="1" applyFill="1" applyBorder="1" applyAlignment="1">
      <alignment horizontal="center"/>
    </xf>
    <xf numFmtId="14" fontId="7" fillId="0" borderId="0" xfId="0" applyNumberFormat="1" applyFont="1"/>
    <xf numFmtId="169" fontId="7" fillId="0" borderId="0" xfId="0" applyNumberFormat="1" applyFont="1"/>
    <xf numFmtId="164" fontId="22" fillId="0" borderId="0" xfId="1" applyFont="1" applyBorder="1" applyAlignment="1">
      <alignment horizontal="center"/>
    </xf>
    <xf numFmtId="164" fontId="22" fillId="2" borderId="1" xfId="1" applyFont="1" applyFill="1" applyBorder="1" applyAlignment="1">
      <alignment horizontal="center"/>
    </xf>
    <xf numFmtId="0" fontId="7" fillId="2" borderId="1" xfId="2" applyFont="1" applyFill="1" applyBorder="1"/>
    <xf numFmtId="0" fontId="82" fillId="0" borderId="6" xfId="2" applyFont="1" applyBorder="1"/>
    <xf numFmtId="0" fontId="27" fillId="0" borderId="3" xfId="2" applyFont="1" applyBorder="1"/>
    <xf numFmtId="164" fontId="67" fillId="7" borderId="12" xfId="0" applyNumberFormat="1" applyFont="1" applyFill="1" applyBorder="1"/>
    <xf numFmtId="0" fontId="84" fillId="4" borderId="0" xfId="2" applyFont="1" applyFill="1"/>
    <xf numFmtId="0" fontId="67" fillId="4" borderId="28" xfId="2" applyFont="1" applyFill="1" applyBorder="1"/>
    <xf numFmtId="164" fontId="7" fillId="0" borderId="9" xfId="0" applyNumberFormat="1" applyFont="1" applyBorder="1"/>
    <xf numFmtId="0" fontId="81" fillId="7" borderId="0" xfId="2" applyFont="1" applyFill="1"/>
    <xf numFmtId="0" fontId="69" fillId="7" borderId="28" xfId="2" applyFont="1" applyFill="1" applyBorder="1"/>
    <xf numFmtId="0" fontId="76" fillId="4" borderId="26" xfId="0" applyFont="1" applyFill="1" applyBorder="1"/>
    <xf numFmtId="0" fontId="76" fillId="0" borderId="34" xfId="0" applyFont="1" applyBorder="1"/>
    <xf numFmtId="167" fontId="22" fillId="0" borderId="12" xfId="0" applyNumberFormat="1" applyFont="1" applyBorder="1" applyAlignment="1">
      <alignment horizontal="center"/>
    </xf>
    <xf numFmtId="167" fontId="32" fillId="8" borderId="1" xfId="0" applyNumberFormat="1" applyFont="1" applyFill="1" applyBorder="1" applyAlignment="1">
      <alignment horizontal="center"/>
    </xf>
    <xf numFmtId="164" fontId="22" fillId="0" borderId="0" xfId="0" applyNumberFormat="1" applyFont="1" applyAlignment="1">
      <alignment horizontal="center"/>
    </xf>
    <xf numFmtId="0" fontId="80" fillId="0" borderId="2" xfId="0" applyFont="1" applyBorder="1"/>
    <xf numFmtId="0" fontId="0" fillId="0" borderId="27" xfId="0" applyBorder="1"/>
    <xf numFmtId="0" fontId="80" fillId="0" borderId="4" xfId="0" applyFont="1" applyBorder="1"/>
    <xf numFmtId="0" fontId="0" fillId="2" borderId="1" xfId="0" applyFill="1" applyBorder="1" applyAlignment="1">
      <alignment horizontal="left"/>
    </xf>
    <xf numFmtId="170" fontId="0" fillId="0" borderId="1" xfId="0" applyNumberFormat="1" applyBorder="1"/>
    <xf numFmtId="0" fontId="0" fillId="0" borderId="28" xfId="0" applyBorder="1"/>
    <xf numFmtId="167" fontId="80" fillId="0" borderId="1" xfId="0" applyNumberFormat="1" applyFont="1" applyBorder="1"/>
    <xf numFmtId="43" fontId="0" fillId="0" borderId="1" xfId="0" applyNumberFormat="1" applyBorder="1"/>
    <xf numFmtId="170" fontId="0" fillId="2" borderId="1" xfId="0" applyNumberFormat="1" applyFill="1" applyBorder="1"/>
    <xf numFmtId="43" fontId="80" fillId="0" borderId="1" xfId="0" applyNumberFormat="1" applyFont="1" applyBorder="1"/>
    <xf numFmtId="0" fontId="79" fillId="0" borderId="0" xfId="2" applyFont="1"/>
    <xf numFmtId="0" fontId="27" fillId="0" borderId="0" xfId="0" applyFont="1" applyAlignment="1">
      <alignment horizontal="center"/>
    </xf>
    <xf numFmtId="0" fontId="4" fillId="0" borderId="10" xfId="0" applyFont="1" applyBorder="1"/>
    <xf numFmtId="167" fontId="4" fillId="0" borderId="10" xfId="0" applyNumberFormat="1" applyFont="1" applyBorder="1"/>
    <xf numFmtId="0" fontId="22" fillId="0" borderId="0" xfId="0" applyFont="1"/>
    <xf numFmtId="167" fontId="4" fillId="0" borderId="0" xfId="0" applyNumberFormat="1" applyFont="1"/>
    <xf numFmtId="0" fontId="4" fillId="0" borderId="0" xfId="0" applyFont="1"/>
    <xf numFmtId="167" fontId="22" fillId="0" borderId="0" xfId="0" applyNumberFormat="1" applyFont="1"/>
    <xf numFmtId="0" fontId="85" fillId="0" borderId="0" xfId="0" applyFont="1"/>
    <xf numFmtId="0" fontId="86" fillId="6" borderId="0" xfId="0" applyFont="1" applyFill="1"/>
    <xf numFmtId="0" fontId="87" fillId="6" borderId="0" xfId="0" applyFont="1" applyFill="1"/>
    <xf numFmtId="0" fontId="88" fillId="0" borderId="0" xfId="0" applyFont="1"/>
    <xf numFmtId="0" fontId="89" fillId="4" borderId="0" xfId="0" applyFont="1" applyFill="1"/>
    <xf numFmtId="0" fontId="89" fillId="0" borderId="0" xfId="0" applyFont="1"/>
    <xf numFmtId="0" fontId="90" fillId="0" borderId="0" xfId="0" applyFont="1"/>
    <xf numFmtId="0" fontId="91" fillId="4" borderId="0" xfId="0" applyFont="1" applyFill="1"/>
    <xf numFmtId="0" fontId="7" fillId="4" borderId="0" xfId="0" applyFont="1" applyFill="1"/>
    <xf numFmtId="0" fontId="92" fillId="0" borderId="0" xfId="2" applyFont="1"/>
    <xf numFmtId="0" fontId="93" fillId="4" borderId="0" xfId="2" applyFont="1" applyFill="1"/>
    <xf numFmtId="0" fontId="94" fillId="0" borderId="0" xfId="2" applyFont="1"/>
    <xf numFmtId="0" fontId="94" fillId="4" borderId="0" xfId="2" applyFont="1" applyFill="1"/>
    <xf numFmtId="0" fontId="88" fillId="0" borderId="0" xfId="2" applyFont="1"/>
    <xf numFmtId="0" fontId="87" fillId="4" borderId="0" xfId="2" applyFont="1" applyFill="1"/>
    <xf numFmtId="0" fontId="95" fillId="0" borderId="0" xfId="0" applyFont="1"/>
    <xf numFmtId="0" fontId="96" fillId="4" borderId="0" xfId="0" applyFont="1" applyFill="1"/>
    <xf numFmtId="0" fontId="33" fillId="4" borderId="0" xfId="0" applyFont="1" applyFill="1"/>
    <xf numFmtId="0" fontId="94" fillId="0" borderId="0" xfId="0" applyFont="1"/>
    <xf numFmtId="0" fontId="87" fillId="4" borderId="0" xfId="0" applyFont="1" applyFill="1"/>
    <xf numFmtId="0" fontId="94" fillId="4" borderId="0" xfId="0" applyFont="1" applyFill="1"/>
    <xf numFmtId="3" fontId="94" fillId="0" borderId="0" xfId="0" applyNumberFormat="1" applyFont="1"/>
    <xf numFmtId="3" fontId="94" fillId="4" borderId="0" xfId="0" applyNumberFormat="1" applyFont="1" applyFill="1"/>
    <xf numFmtId="0" fontId="94" fillId="4" borderId="24" xfId="0" applyFont="1" applyFill="1" applyBorder="1"/>
    <xf numFmtId="0" fontId="97" fillId="6" borderId="0" xfId="0" applyFont="1" applyFill="1" applyAlignment="1">
      <alignment horizontal="center" vertical="top" wrapText="1"/>
    </xf>
    <xf numFmtId="0" fontId="97" fillId="4" borderId="0" xfId="0" applyFont="1" applyFill="1" applyAlignment="1">
      <alignment horizontal="center" vertical="top" wrapText="1"/>
    </xf>
    <xf numFmtId="0" fontId="97" fillId="6" borderId="0" xfId="0" applyFont="1" applyFill="1" applyAlignment="1">
      <alignment horizontal="center"/>
    </xf>
    <xf numFmtId="0" fontId="97" fillId="4" borderId="0" xfId="0" applyFont="1" applyFill="1" applyAlignment="1">
      <alignment horizontal="center"/>
    </xf>
    <xf numFmtId="0" fontId="0" fillId="0" borderId="24" xfId="0" applyBorder="1" applyAlignment="1">
      <alignment vertical="center"/>
    </xf>
    <xf numFmtId="167" fontId="94" fillId="4" borderId="0" xfId="0" applyNumberFormat="1" applyFont="1" applyFill="1" applyAlignment="1">
      <alignment horizontal="center"/>
    </xf>
    <xf numFmtId="0" fontId="94" fillId="4" borderId="0" xfId="0" applyFont="1" applyFill="1" applyAlignment="1">
      <alignment horizontal="center"/>
    </xf>
    <xf numFmtId="0" fontId="94" fillId="7" borderId="0" xfId="0" applyFont="1" applyFill="1" applyAlignment="1">
      <alignment horizontal="left" vertical="center" wrapText="1"/>
    </xf>
    <xf numFmtId="0" fontId="87" fillId="4" borderId="0" xfId="0" applyFont="1" applyFill="1" applyAlignment="1">
      <alignment horizontal="center" vertical="center" wrapText="1"/>
    </xf>
    <xf numFmtId="0" fontId="94" fillId="7" borderId="0" xfId="0" applyFont="1" applyFill="1" applyAlignment="1">
      <alignment horizontal="center" vertical="center"/>
    </xf>
    <xf numFmtId="0" fontId="94" fillId="4" borderId="0" xfId="0" applyFont="1" applyFill="1" applyAlignment="1">
      <alignment horizontal="center" vertical="center"/>
    </xf>
    <xf numFmtId="0" fontId="94" fillId="7" borderId="0" xfId="0" applyFont="1" applyFill="1" applyAlignment="1">
      <alignment horizontal="center" vertical="center" wrapText="1"/>
    </xf>
    <xf numFmtId="0" fontId="94" fillId="4" borderId="0" xfId="0" applyFont="1" applyFill="1" applyAlignment="1">
      <alignment horizontal="center" vertical="center" wrapText="1"/>
    </xf>
    <xf numFmtId="0" fontId="0" fillId="5" borderId="24" xfId="0" applyFill="1" applyBorder="1" applyAlignment="1">
      <alignment vertical="center"/>
    </xf>
    <xf numFmtId="0" fontId="98" fillId="7" borderId="0" xfId="0" applyFont="1" applyFill="1" applyAlignment="1">
      <alignment horizontal="left" vertical="center" wrapText="1"/>
    </xf>
    <xf numFmtId="0" fontId="98" fillId="4" borderId="0" xfId="0" applyFont="1" applyFill="1" applyAlignment="1">
      <alignment horizontal="center" vertical="center" wrapText="1"/>
    </xf>
    <xf numFmtId="0" fontId="98" fillId="7" borderId="0" xfId="0" applyFont="1" applyFill="1" applyAlignment="1">
      <alignment horizontal="center" vertical="center"/>
    </xf>
    <xf numFmtId="0" fontId="98" fillId="4" borderId="0" xfId="0" applyFont="1" applyFill="1" applyAlignment="1">
      <alignment horizontal="center" vertical="center"/>
    </xf>
    <xf numFmtId="0" fontId="98" fillId="7" borderId="0" xfId="0" applyFont="1" applyFill="1" applyAlignment="1">
      <alignment horizontal="center" vertical="center" wrapText="1"/>
    </xf>
    <xf numFmtId="0" fontId="87" fillId="4" borderId="0" xfId="0" applyFont="1" applyFill="1" applyAlignment="1">
      <alignment horizontal="center" vertical="center"/>
    </xf>
    <xf numFmtId="167" fontId="94" fillId="4" borderId="0" xfId="0" applyNumberFormat="1" applyFont="1" applyFill="1" applyAlignment="1">
      <alignment horizontal="center" vertical="center"/>
    </xf>
    <xf numFmtId="0" fontId="94" fillId="4" borderId="25" xfId="0" applyFont="1" applyFill="1" applyBorder="1"/>
    <xf numFmtId="0" fontId="87" fillId="4" borderId="26" xfId="0" applyFont="1" applyFill="1" applyBorder="1" applyAlignment="1">
      <alignment horizontal="center" vertical="center" wrapText="1"/>
    </xf>
    <xf numFmtId="0" fontId="94" fillId="4" borderId="26" xfId="0" applyFont="1" applyFill="1" applyBorder="1" applyAlignment="1">
      <alignment horizontal="center" vertical="center"/>
    </xf>
    <xf numFmtId="0" fontId="94" fillId="4" borderId="26" xfId="0" applyFont="1" applyFill="1" applyBorder="1" applyAlignment="1">
      <alignment horizontal="center" vertical="center" wrapText="1"/>
    </xf>
    <xf numFmtId="0" fontId="0" fillId="0" borderId="0" xfId="0" applyAlignment="1">
      <alignment vertical="center"/>
    </xf>
    <xf numFmtId="0" fontId="94" fillId="4" borderId="0" xfId="0" applyFont="1" applyFill="1" applyAlignment="1">
      <alignment horizontal="left" vertical="center"/>
    </xf>
    <xf numFmtId="0" fontId="0" fillId="4" borderId="0" xfId="0" applyFill="1" applyAlignment="1">
      <alignment horizontal="center" vertical="center"/>
    </xf>
    <xf numFmtId="0" fontId="0" fillId="0" borderId="26" xfId="0" applyBorder="1" applyAlignment="1">
      <alignment vertical="center"/>
    </xf>
    <xf numFmtId="0" fontId="94" fillId="4" borderId="26" xfId="0" applyFont="1" applyFill="1" applyBorder="1" applyAlignment="1">
      <alignment horizontal="left" vertical="center"/>
    </xf>
    <xf numFmtId="0" fontId="87" fillId="4" borderId="26" xfId="0" applyFont="1" applyFill="1" applyBorder="1" applyAlignment="1">
      <alignment horizontal="center" vertical="center"/>
    </xf>
    <xf numFmtId="0" fontId="0" fillId="4" borderId="26" xfId="0" applyFill="1" applyBorder="1" applyAlignment="1">
      <alignment horizontal="center" vertical="center"/>
    </xf>
    <xf numFmtId="167" fontId="94" fillId="4" borderId="26" xfId="0" applyNumberFormat="1" applyFont="1" applyFill="1" applyBorder="1" applyAlignment="1">
      <alignment horizontal="center" vertical="center"/>
    </xf>
    <xf numFmtId="0" fontId="23" fillId="8" borderId="1" xfId="0" applyFont="1" applyFill="1" applyBorder="1"/>
    <xf numFmtId="0" fontId="0" fillId="2" borderId="1" xfId="0" applyFill="1" applyBorder="1"/>
    <xf numFmtId="0" fontId="7" fillId="0" borderId="28" xfId="0" applyFont="1" applyBorder="1"/>
    <xf numFmtId="0" fontId="94" fillId="0" borderId="28" xfId="2" applyFont="1" applyBorder="1"/>
    <xf numFmtId="0" fontId="4" fillId="0" borderId="0" xfId="0" applyFont="1" applyAlignment="1">
      <alignment vertical="top" wrapText="1"/>
    </xf>
    <xf numFmtId="0" fontId="22" fillId="0" borderId="0" xfId="0" applyFont="1" applyAlignment="1">
      <alignment vertical="top" wrapText="1"/>
    </xf>
    <xf numFmtId="0" fontId="94" fillId="0" borderId="28" xfId="0" applyFont="1" applyBorder="1"/>
    <xf numFmtId="167" fontId="7" fillId="4" borderId="0" xfId="0" applyNumberFormat="1" applyFont="1" applyFill="1" applyAlignment="1">
      <alignment horizontal="center"/>
    </xf>
    <xf numFmtId="167" fontId="94" fillId="4" borderId="0" xfId="0" applyNumberFormat="1" applyFont="1" applyFill="1" applyAlignment="1">
      <alignment horizontal="right"/>
    </xf>
    <xf numFmtId="0" fontId="0" fillId="4" borderId="0" xfId="0" applyFill="1" applyAlignment="1">
      <alignment horizontal="center"/>
    </xf>
    <xf numFmtId="0" fontId="0" fillId="4" borderId="28" xfId="0" applyFill="1" applyBorder="1"/>
    <xf numFmtId="0" fontId="22" fillId="4" borderId="0" xfId="0" applyFont="1" applyFill="1" applyAlignment="1">
      <alignment vertical="top" wrapText="1"/>
    </xf>
    <xf numFmtId="167" fontId="7" fillId="5" borderId="0" xfId="0" applyNumberFormat="1" applyFont="1" applyFill="1" applyAlignment="1">
      <alignment horizontal="center"/>
    </xf>
    <xf numFmtId="167" fontId="94" fillId="5" borderId="0" xfId="0" applyNumberFormat="1" applyFont="1" applyFill="1" applyAlignment="1">
      <alignment horizontal="right"/>
    </xf>
    <xf numFmtId="0" fontId="0" fillId="5" borderId="0" xfId="0" applyFill="1" applyAlignment="1">
      <alignment horizontal="center"/>
    </xf>
    <xf numFmtId="0" fontId="0" fillId="5" borderId="28" xfId="0" applyFill="1" applyBorder="1"/>
    <xf numFmtId="0" fontId="7" fillId="5" borderId="0" xfId="0" applyFont="1" applyFill="1"/>
    <xf numFmtId="0" fontId="22" fillId="5" borderId="0" xfId="0" applyFont="1" applyFill="1" applyAlignment="1">
      <alignment vertical="top" wrapText="1"/>
    </xf>
    <xf numFmtId="0" fontId="94" fillId="4" borderId="26" xfId="0" applyFont="1" applyFill="1" applyBorder="1"/>
    <xf numFmtId="0" fontId="94" fillId="0" borderId="26" xfId="0" applyFont="1" applyBorder="1"/>
    <xf numFmtId="0" fontId="94" fillId="0" borderId="34" xfId="0" applyFont="1" applyBorder="1"/>
    <xf numFmtId="167" fontId="7" fillId="4" borderId="26" xfId="0" applyNumberFormat="1" applyFont="1" applyFill="1" applyBorder="1" applyAlignment="1">
      <alignment horizontal="center"/>
    </xf>
    <xf numFmtId="167" fontId="94" fillId="4" borderId="26" xfId="0" applyNumberFormat="1" applyFont="1" applyFill="1" applyBorder="1" applyAlignment="1">
      <alignment horizontal="right"/>
    </xf>
    <xf numFmtId="0" fontId="0" fillId="4" borderId="26" xfId="0" applyFill="1" applyBorder="1" applyAlignment="1">
      <alignment horizontal="center"/>
    </xf>
    <xf numFmtId="167" fontId="94" fillId="7" borderId="0" xfId="0" applyNumberFormat="1" applyFont="1" applyFill="1" applyAlignment="1">
      <alignment horizontal="center" vertical="center"/>
    </xf>
    <xf numFmtId="167" fontId="94" fillId="7" borderId="0" xfId="0" applyNumberFormat="1" applyFont="1" applyFill="1" applyAlignment="1">
      <alignment horizontal="center" vertical="center" wrapText="1"/>
    </xf>
    <xf numFmtId="0" fontId="7" fillId="7" borderId="0" xfId="0" applyFont="1" applyFill="1" applyAlignment="1">
      <alignment horizontal="left" vertical="center"/>
    </xf>
    <xf numFmtId="0" fontId="0" fillId="7" borderId="0" xfId="0" applyFill="1" applyAlignment="1">
      <alignment horizontal="center" vertical="center"/>
    </xf>
    <xf numFmtId="0" fontId="94" fillId="7" borderId="0" xfId="0" applyFont="1" applyFill="1" applyAlignment="1">
      <alignment horizontal="left"/>
    </xf>
    <xf numFmtId="0" fontId="87" fillId="7" borderId="0" xfId="0" applyFont="1" applyFill="1"/>
    <xf numFmtId="0" fontId="94" fillId="7" borderId="0" xfId="0" applyFont="1" applyFill="1"/>
    <xf numFmtId="41" fontId="94" fillId="7" borderId="0" xfId="0" applyNumberFormat="1" applyFont="1" applyFill="1"/>
    <xf numFmtId="41" fontId="94" fillId="4" borderId="0" xfId="0" applyNumberFormat="1" applyFont="1" applyFill="1"/>
    <xf numFmtId="0" fontId="97" fillId="6" borderId="0" xfId="0" applyFont="1" applyFill="1"/>
    <xf numFmtId="0" fontId="97" fillId="4" borderId="0" xfId="0" applyFont="1" applyFill="1"/>
    <xf numFmtId="171" fontId="97" fillId="6" borderId="0" xfId="0" applyNumberFormat="1" applyFont="1" applyFill="1"/>
    <xf numFmtId="171" fontId="97" fillId="4" borderId="0" xfId="0" applyNumberFormat="1" applyFont="1" applyFill="1"/>
    <xf numFmtId="167" fontId="97" fillId="6" borderId="28" xfId="0" applyNumberFormat="1" applyFont="1" applyFill="1" applyBorder="1"/>
    <xf numFmtId="0" fontId="7" fillId="0" borderId="26" xfId="0" applyFont="1" applyBorder="1"/>
    <xf numFmtId="0" fontId="91" fillId="4" borderId="26" xfId="0" applyFont="1" applyFill="1" applyBorder="1"/>
    <xf numFmtId="0" fontId="7" fillId="4" borderId="26" xfId="0" applyFont="1" applyFill="1" applyBorder="1"/>
    <xf numFmtId="0" fontId="7" fillId="0" borderId="23" xfId="0" applyFont="1" applyBorder="1"/>
    <xf numFmtId="0" fontId="91" fillId="4" borderId="23" xfId="0" applyFont="1" applyFill="1" applyBorder="1"/>
    <xf numFmtId="0" fontId="7" fillId="4" borderId="23" xfId="0" applyFont="1" applyFill="1" applyBorder="1"/>
    <xf numFmtId="0" fontId="99" fillId="0" borderId="0" xfId="0" applyFont="1"/>
    <xf numFmtId="0" fontId="100" fillId="4" borderId="0" xfId="0" applyFont="1" applyFill="1"/>
    <xf numFmtId="0" fontId="97" fillId="6" borderId="0" xfId="2" applyFont="1" applyFill="1"/>
    <xf numFmtId="0" fontId="87" fillId="6" borderId="0" xfId="2" applyFont="1" applyFill="1" applyAlignment="1">
      <alignment horizontal="center"/>
    </xf>
    <xf numFmtId="0" fontId="87" fillId="4" borderId="0" xfId="2" applyFont="1" applyFill="1" applyAlignment="1">
      <alignment horizontal="center"/>
    </xf>
    <xf numFmtId="0" fontId="74" fillId="6" borderId="0" xfId="2" applyFont="1" applyFill="1"/>
    <xf numFmtId="0" fontId="97" fillId="4" borderId="0" xfId="2" applyFont="1" applyFill="1" applyAlignment="1">
      <alignment horizontal="center"/>
    </xf>
    <xf numFmtId="0" fontId="97" fillId="6" borderId="0" xfId="2" applyFont="1" applyFill="1" applyAlignment="1">
      <alignment horizontal="center"/>
    </xf>
    <xf numFmtId="167" fontId="94" fillId="7" borderId="0" xfId="0" applyNumberFormat="1" applyFont="1" applyFill="1" applyAlignment="1">
      <alignment horizontal="center"/>
    </xf>
    <xf numFmtId="164" fontId="94" fillId="7" borderId="0" xfId="0" applyNumberFormat="1" applyFont="1" applyFill="1" applyAlignment="1">
      <alignment horizontal="center"/>
    </xf>
    <xf numFmtId="0" fontId="0" fillId="0" borderId="34" xfId="0" applyBorder="1"/>
    <xf numFmtId="0" fontId="97" fillId="4" borderId="0" xfId="2" applyFont="1" applyFill="1"/>
    <xf numFmtId="167" fontId="97" fillId="6" borderId="0" xfId="2" applyNumberFormat="1" applyFont="1" applyFill="1"/>
    <xf numFmtId="167" fontId="6" fillId="4" borderId="0" xfId="2" applyNumberFormat="1" applyFont="1" applyFill="1"/>
    <xf numFmtId="167" fontId="94" fillId="7" borderId="0" xfId="0" applyNumberFormat="1" applyFont="1" applyFill="1"/>
    <xf numFmtId="167" fontId="7" fillId="4" borderId="0" xfId="0" applyNumberFormat="1" applyFont="1" applyFill="1"/>
    <xf numFmtId="41" fontId="0" fillId="4" borderId="0" xfId="0" applyNumberFormat="1" applyFill="1"/>
    <xf numFmtId="167" fontId="94" fillId="0" borderId="0" xfId="0" applyNumberFormat="1" applyFont="1" applyAlignment="1">
      <alignment horizontal="center"/>
    </xf>
    <xf numFmtId="167" fontId="94" fillId="0" borderId="0" xfId="0" applyNumberFormat="1" applyFont="1"/>
    <xf numFmtId="0" fontId="99" fillId="0" borderId="0" xfId="0" applyFont="1" applyAlignment="1">
      <alignment horizontal="right"/>
    </xf>
    <xf numFmtId="167" fontId="101" fillId="4" borderId="0" xfId="0" applyNumberFormat="1" applyFont="1" applyFill="1"/>
    <xf numFmtId="167" fontId="97" fillId="6" borderId="0" xfId="0" applyNumberFormat="1" applyFont="1" applyFill="1"/>
    <xf numFmtId="0" fontId="101" fillId="0" borderId="0" xfId="0" applyFont="1"/>
    <xf numFmtId="0" fontId="101" fillId="4" borderId="0" xfId="0" applyFont="1" applyFill="1"/>
    <xf numFmtId="167" fontId="94" fillId="4" borderId="0" xfId="0" applyNumberFormat="1" applyFont="1" applyFill="1"/>
    <xf numFmtId="0" fontId="102" fillId="4" borderId="0" xfId="0" applyFont="1" applyFill="1"/>
    <xf numFmtId="0" fontId="19" fillId="4" borderId="0" xfId="0" applyFont="1" applyFill="1"/>
    <xf numFmtId="41" fontId="97" fillId="6" borderId="0" xfId="0" applyNumberFormat="1" applyFont="1" applyFill="1"/>
    <xf numFmtId="167" fontId="6" fillId="4" borderId="0" xfId="0" applyNumberFormat="1" applyFont="1" applyFill="1"/>
    <xf numFmtId="41" fontId="97" fillId="4" borderId="0" xfId="0" applyNumberFormat="1" applyFont="1" applyFill="1"/>
    <xf numFmtId="167" fontId="33" fillId="7" borderId="0" xfId="0" applyNumberFormat="1" applyFont="1" applyFill="1"/>
    <xf numFmtId="0" fontId="6" fillId="0" borderId="26" xfId="0" applyFont="1" applyBorder="1"/>
    <xf numFmtId="0" fontId="102" fillId="4" borderId="26" xfId="0" applyFont="1" applyFill="1" applyBorder="1"/>
    <xf numFmtId="0" fontId="19" fillId="0" borderId="26" xfId="0" applyFont="1" applyBorder="1"/>
    <xf numFmtId="0" fontId="19" fillId="4" borderId="26" xfId="0" applyFont="1" applyFill="1" applyBorder="1"/>
    <xf numFmtId="0" fontId="99" fillId="4" borderId="0" xfId="0" applyFont="1" applyFill="1"/>
    <xf numFmtId="0" fontId="103" fillId="0" borderId="1" xfId="0" applyFont="1" applyBorder="1"/>
    <xf numFmtId="0" fontId="104" fillId="4" borderId="12" xfId="0" applyFont="1" applyFill="1" applyBorder="1"/>
    <xf numFmtId="0" fontId="94" fillId="0" borderId="24" xfId="0" applyFont="1" applyBorder="1"/>
    <xf numFmtId="0" fontId="105" fillId="4" borderId="0" xfId="0" applyFont="1" applyFill="1"/>
    <xf numFmtId="0" fontId="106" fillId="4" borderId="0" xfId="0" applyFont="1" applyFill="1" applyAlignment="1">
      <alignment horizontal="center"/>
    </xf>
    <xf numFmtId="0" fontId="107" fillId="6" borderId="0" xfId="0" applyFont="1" applyFill="1" applyAlignment="1">
      <alignment horizontal="center"/>
    </xf>
    <xf numFmtId="0" fontId="108" fillId="4" borderId="0" xfId="0" applyFont="1" applyFill="1" applyAlignment="1">
      <alignment horizontal="center"/>
    </xf>
    <xf numFmtId="0" fontId="0" fillId="7" borderId="0" xfId="0" applyFill="1"/>
    <xf numFmtId="0" fontId="109" fillId="0" borderId="0" xfId="0" applyFont="1"/>
    <xf numFmtId="0" fontId="93" fillId="4" borderId="0" xfId="0" applyFont="1" applyFill="1"/>
    <xf numFmtId="167" fontId="97" fillId="4" borderId="0" xfId="0" applyNumberFormat="1" applyFont="1" applyFill="1" applyAlignment="1">
      <alignment horizontal="center"/>
    </xf>
    <xf numFmtId="167" fontId="97" fillId="6" borderId="0" xfId="0" applyNumberFormat="1" applyFont="1" applyFill="1" applyAlignment="1">
      <alignment horizontal="center"/>
    </xf>
    <xf numFmtId="0" fontId="87" fillId="4" borderId="0" xfId="0" applyFont="1" applyFill="1" applyAlignment="1">
      <alignment horizontal="center"/>
    </xf>
    <xf numFmtId="0" fontId="110" fillId="4" borderId="0" xfId="0" applyFont="1" applyFill="1"/>
    <xf numFmtId="167" fontId="6" fillId="4" borderId="0" xfId="0" applyNumberFormat="1" applyFont="1" applyFill="1" applyAlignment="1">
      <alignment horizontal="center"/>
    </xf>
    <xf numFmtId="0" fontId="53" fillId="0" borderId="26" xfId="0" applyFont="1" applyBorder="1"/>
    <xf numFmtId="0" fontId="110" fillId="4" borderId="26" xfId="0" applyFont="1" applyFill="1" applyBorder="1"/>
    <xf numFmtId="167" fontId="6" fillId="0" borderId="26" xfId="0" applyNumberFormat="1" applyFont="1" applyBorder="1"/>
    <xf numFmtId="167" fontId="6" fillId="4" borderId="26" xfId="0" applyNumberFormat="1" applyFont="1" applyFill="1" applyBorder="1"/>
    <xf numFmtId="0" fontId="7" fillId="0" borderId="34" xfId="0" applyFont="1" applyBorder="1"/>
    <xf numFmtId="0" fontId="94" fillId="4" borderId="28" xfId="0" applyFont="1" applyFill="1" applyBorder="1"/>
    <xf numFmtId="167" fontId="33" fillId="7" borderId="28" xfId="0" applyNumberFormat="1" applyFont="1" applyFill="1" applyBorder="1"/>
    <xf numFmtId="167" fontId="6" fillId="0" borderId="28" xfId="0" applyNumberFormat="1" applyFont="1" applyBorder="1"/>
    <xf numFmtId="0" fontId="111" fillId="4" borderId="0" xfId="0" applyFont="1" applyFill="1" applyAlignment="1">
      <alignment horizontal="center"/>
    </xf>
    <xf numFmtId="167" fontId="94" fillId="7" borderId="0" xfId="0" applyNumberFormat="1" applyFont="1" applyFill="1" applyAlignment="1">
      <alignment horizontal="right"/>
    </xf>
    <xf numFmtId="43" fontId="80" fillId="0" borderId="0" xfId="0" applyNumberFormat="1" applyFont="1"/>
    <xf numFmtId="167" fontId="97" fillId="6" borderId="0" xfId="0" applyNumberFormat="1" applyFont="1" applyFill="1" applyAlignment="1">
      <alignment horizontal="right"/>
    </xf>
    <xf numFmtId="0" fontId="80" fillId="0" borderId="0" xfId="0" applyFont="1"/>
    <xf numFmtId="0" fontId="7" fillId="4" borderId="0" xfId="0" applyFont="1" applyFill="1" applyAlignment="1">
      <alignment horizontal="center"/>
    </xf>
    <xf numFmtId="0" fontId="6" fillId="4" borderId="0" xfId="0" applyFont="1" applyFill="1" applyAlignment="1">
      <alignment horizontal="center"/>
    </xf>
    <xf numFmtId="164" fontId="80" fillId="0" borderId="0" xfId="0" applyNumberFormat="1" applyFont="1"/>
    <xf numFmtId="0" fontId="6" fillId="4" borderId="0" xfId="0" applyFont="1" applyFill="1"/>
    <xf numFmtId="0" fontId="6" fillId="4" borderId="26" xfId="0" applyFont="1" applyFill="1" applyBorder="1"/>
    <xf numFmtId="0" fontId="112" fillId="0" borderId="4" xfId="0" applyFont="1" applyBorder="1"/>
    <xf numFmtId="0" fontId="113" fillId="4" borderId="12" xfId="0" applyFont="1" applyFill="1" applyBorder="1"/>
    <xf numFmtId="0" fontId="89" fillId="0" borderId="12" xfId="0" applyFont="1" applyBorder="1"/>
    <xf numFmtId="0" fontId="89" fillId="4" borderId="12" xfId="0" applyFont="1" applyFill="1" applyBorder="1"/>
    <xf numFmtId="0" fontId="114" fillId="0" borderId="0" xfId="0" applyFont="1"/>
    <xf numFmtId="0" fontId="115" fillId="4" borderId="0" xfId="0" applyFont="1" applyFill="1"/>
    <xf numFmtId="0" fontId="0" fillId="4" borderId="24" xfId="0" applyFill="1" applyBorder="1"/>
    <xf numFmtId="164" fontId="94" fillId="4" borderId="0" xfId="0" applyNumberFormat="1" applyFont="1" applyFill="1"/>
    <xf numFmtId="164" fontId="116" fillId="4" borderId="0" xfId="0" applyNumberFormat="1" applyFont="1" applyFill="1"/>
    <xf numFmtId="0" fontId="97" fillId="7" borderId="0" xfId="0" applyFont="1" applyFill="1"/>
    <xf numFmtId="0" fontId="117" fillId="4" borderId="0" xfId="0" applyFont="1" applyFill="1"/>
    <xf numFmtId="0" fontId="90" fillId="0" borderId="0" xfId="0" applyFont="1" applyAlignment="1">
      <alignment horizontal="center"/>
    </xf>
    <xf numFmtId="0" fontId="90" fillId="4" borderId="0" xfId="0" applyFont="1" applyFill="1" applyAlignment="1">
      <alignment horizontal="center"/>
    </xf>
    <xf numFmtId="0" fontId="7" fillId="7" borderId="9" xfId="0" applyFont="1" applyFill="1" applyBorder="1"/>
    <xf numFmtId="0" fontId="91" fillId="4" borderId="9" xfId="0" applyFont="1" applyFill="1" applyBorder="1"/>
    <xf numFmtId="0" fontId="7" fillId="4" borderId="9" xfId="0" applyFont="1" applyFill="1" applyBorder="1"/>
    <xf numFmtId="167" fontId="7" fillId="7" borderId="9" xfId="0" applyNumberFormat="1" applyFont="1" applyFill="1" applyBorder="1"/>
    <xf numFmtId="167" fontId="7" fillId="4" borderId="9" xfId="0" applyNumberFormat="1" applyFont="1" applyFill="1" applyBorder="1"/>
    <xf numFmtId="0" fontId="7" fillId="7" borderId="12" xfId="0" applyFont="1" applyFill="1" applyBorder="1"/>
    <xf numFmtId="0" fontId="91" fillId="4" borderId="12" xfId="0" applyFont="1" applyFill="1" applyBorder="1"/>
    <xf numFmtId="0" fontId="7" fillId="4" borderId="12" xfId="0" applyFont="1" applyFill="1" applyBorder="1"/>
    <xf numFmtId="167" fontId="7" fillId="7" borderId="12" xfId="0" applyNumberFormat="1" applyFont="1" applyFill="1" applyBorder="1"/>
    <xf numFmtId="167" fontId="7" fillId="4" borderId="12" xfId="0" applyNumberFormat="1" applyFont="1" applyFill="1" applyBorder="1"/>
    <xf numFmtId="0" fontId="7" fillId="7" borderId="0" xfId="0" applyFont="1" applyFill="1"/>
    <xf numFmtId="167" fontId="65" fillId="7" borderId="0" xfId="0" applyNumberFormat="1" applyFont="1" applyFill="1"/>
    <xf numFmtId="167" fontId="65" fillId="4" borderId="0" xfId="0" applyNumberFormat="1" applyFont="1" applyFill="1"/>
    <xf numFmtId="0" fontId="33" fillId="4" borderId="26" xfId="0" applyFont="1" applyFill="1" applyBorder="1"/>
    <xf numFmtId="0" fontId="97" fillId="4" borderId="26" xfId="0" applyFont="1" applyFill="1" applyBorder="1"/>
    <xf numFmtId="0" fontId="103" fillId="0" borderId="4" xfId="0" applyFont="1" applyBorder="1"/>
    <xf numFmtId="0" fontId="118" fillId="4" borderId="12" xfId="0" applyFont="1" applyFill="1" applyBorder="1"/>
    <xf numFmtId="0" fontId="100" fillId="0" borderId="12" xfId="0" applyFont="1" applyBorder="1"/>
    <xf numFmtId="0" fontId="100" fillId="4" borderId="12" xfId="0" applyFont="1" applyFill="1" applyBorder="1"/>
    <xf numFmtId="0" fontId="119" fillId="0" borderId="0" xfId="0" applyFont="1"/>
    <xf numFmtId="0" fontId="120" fillId="4" borderId="0" xfId="0" applyFont="1" applyFill="1"/>
    <xf numFmtId="0" fontId="121" fillId="4" borderId="0" xfId="0" applyFont="1" applyFill="1"/>
    <xf numFmtId="167" fontId="94" fillId="7" borderId="28" xfId="0" applyNumberFormat="1" applyFont="1" applyFill="1" applyBorder="1"/>
    <xf numFmtId="0" fontId="116" fillId="4" borderId="28" xfId="0" applyFont="1" applyFill="1" applyBorder="1"/>
    <xf numFmtId="0" fontId="80" fillId="4" borderId="0" xfId="0" applyFont="1" applyFill="1"/>
    <xf numFmtId="0" fontId="33" fillId="4" borderId="0" xfId="0" applyFont="1" applyFill="1" applyAlignment="1">
      <alignment horizontal="center"/>
    </xf>
    <xf numFmtId="167" fontId="33" fillId="4" borderId="0" xfId="0" applyNumberFormat="1" applyFont="1" applyFill="1"/>
    <xf numFmtId="164" fontId="94" fillId="7" borderId="0" xfId="0" applyNumberFormat="1" applyFont="1" applyFill="1"/>
    <xf numFmtId="167" fontId="94" fillId="7" borderId="28" xfId="0" applyNumberFormat="1" applyFont="1" applyFill="1" applyBorder="1" applyAlignment="1">
      <alignment horizontal="right"/>
    </xf>
    <xf numFmtId="0" fontId="94" fillId="7" borderId="28" xfId="0" applyFont="1" applyFill="1" applyBorder="1" applyAlignment="1">
      <alignment horizontal="right"/>
    </xf>
    <xf numFmtId="167" fontId="87" fillId="6" borderId="28" xfId="0" applyNumberFormat="1" applyFont="1" applyFill="1" applyBorder="1"/>
    <xf numFmtId="167" fontId="94" fillId="4" borderId="28" xfId="0" applyNumberFormat="1" applyFont="1" applyFill="1" applyBorder="1"/>
    <xf numFmtId="167" fontId="94" fillId="4" borderId="34" xfId="0" applyNumberFormat="1" applyFont="1" applyFill="1" applyBorder="1"/>
    <xf numFmtId="167" fontId="94" fillId="4" borderId="26" xfId="0" applyNumberFormat="1" applyFont="1" applyFill="1" applyBorder="1"/>
    <xf numFmtId="0" fontId="97" fillId="6" borderId="0" xfId="0" applyFont="1" applyFill="1" applyAlignment="1">
      <alignment horizontal="right"/>
    </xf>
    <xf numFmtId="0" fontId="33" fillId="4" borderId="0" xfId="0" applyFont="1" applyFill="1" applyAlignment="1">
      <alignment horizontal="right"/>
    </xf>
    <xf numFmtId="0" fontId="33" fillId="0" borderId="28" xfId="0" applyFont="1" applyBorder="1"/>
    <xf numFmtId="0" fontId="94" fillId="7" borderId="0" xfId="0" applyFont="1" applyFill="1" applyAlignment="1">
      <alignment horizontal="center"/>
    </xf>
    <xf numFmtId="0" fontId="0" fillId="5" borderId="24" xfId="0" applyFill="1" applyBorder="1"/>
    <xf numFmtId="0" fontId="94" fillId="5" borderId="0" xfId="0" applyFont="1" applyFill="1"/>
    <xf numFmtId="0" fontId="87" fillId="5" borderId="0" xfId="0" applyFont="1" applyFill="1"/>
    <xf numFmtId="167" fontId="94" fillId="5" borderId="0" xfId="0" applyNumberFormat="1" applyFont="1" applyFill="1" applyAlignment="1">
      <alignment horizontal="center"/>
    </xf>
    <xf numFmtId="0" fontId="97" fillId="5" borderId="0" xfId="0" applyFont="1" applyFill="1" applyAlignment="1">
      <alignment horizontal="center"/>
    </xf>
    <xf numFmtId="0" fontId="94" fillId="6" borderId="0" xfId="0" applyFont="1" applyFill="1"/>
    <xf numFmtId="0" fontId="94" fillId="5" borderId="28" xfId="0" applyFont="1" applyFill="1" applyBorder="1"/>
    <xf numFmtId="0" fontId="80" fillId="5" borderId="0" xfId="0" applyFont="1" applyFill="1"/>
    <xf numFmtId="167" fontId="80" fillId="0" borderId="0" xfId="0" applyNumberFormat="1" applyFont="1"/>
    <xf numFmtId="167" fontId="33" fillId="0" borderId="28" xfId="0" applyNumberFormat="1" applyFont="1" applyBorder="1"/>
    <xf numFmtId="4" fontId="7" fillId="0" borderId="0" xfId="0" applyNumberFormat="1" applyFont="1"/>
    <xf numFmtId="4" fontId="7" fillId="4" borderId="0" xfId="0" applyNumberFormat="1" applyFont="1" applyFill="1"/>
    <xf numFmtId="4" fontId="94" fillId="7" borderId="0" xfId="0" applyNumberFormat="1" applyFont="1" applyFill="1"/>
    <xf numFmtId="4" fontId="94" fillId="4" borderId="0" xfId="0" applyNumberFormat="1" applyFont="1" applyFill="1"/>
    <xf numFmtId="0" fontId="94" fillId="7" borderId="28" xfId="0" applyFont="1" applyFill="1" applyBorder="1"/>
    <xf numFmtId="167" fontId="94" fillId="7" borderId="9" xfId="0" applyNumberFormat="1" applyFont="1" applyFill="1" applyBorder="1"/>
    <xf numFmtId="167" fontId="94" fillId="7" borderId="18" xfId="0" applyNumberFormat="1" applyFont="1" applyFill="1" applyBorder="1"/>
    <xf numFmtId="167" fontId="94" fillId="6" borderId="0" xfId="0" applyNumberFormat="1" applyFont="1" applyFill="1"/>
    <xf numFmtId="167" fontId="94" fillId="6" borderId="28" xfId="0" applyNumberFormat="1" applyFont="1" applyFill="1" applyBorder="1"/>
    <xf numFmtId="0" fontId="122" fillId="0" borderId="1" xfId="0" applyFont="1" applyBorder="1"/>
    <xf numFmtId="0" fontId="123" fillId="4" borderId="5" xfId="0" applyFont="1" applyFill="1" applyBorder="1"/>
    <xf numFmtId="0" fontId="124" fillId="0" borderId="0" xfId="0" applyFont="1"/>
    <xf numFmtId="0" fontId="123" fillId="4" borderId="0" xfId="0" applyFont="1" applyFill="1"/>
    <xf numFmtId="0" fontId="7" fillId="0" borderId="0" xfId="0" applyFont="1" applyAlignment="1">
      <alignment horizontal="left" indent="12"/>
    </xf>
    <xf numFmtId="0" fontId="7" fillId="4" borderId="0" xfId="0" applyFont="1" applyFill="1" applyAlignment="1">
      <alignment horizontal="left" indent="12"/>
    </xf>
    <xf numFmtId="0" fontId="125" fillId="6" borderId="0" xfId="0" applyFont="1" applyFill="1"/>
    <xf numFmtId="167" fontId="7" fillId="0" borderId="26" xfId="0" applyNumberFormat="1" applyFont="1" applyBorder="1"/>
    <xf numFmtId="167" fontId="7" fillId="4" borderId="26" xfId="0" applyNumberFormat="1" applyFont="1" applyFill="1" applyBorder="1"/>
    <xf numFmtId="164" fontId="7" fillId="0" borderId="28" xfId="0" applyNumberFormat="1" applyFont="1" applyBorder="1"/>
    <xf numFmtId="164" fontId="87" fillId="6" borderId="28" xfId="0" applyNumberFormat="1" applyFont="1" applyFill="1" applyBorder="1"/>
    <xf numFmtId="164" fontId="94" fillId="4" borderId="28" xfId="0" applyNumberFormat="1" applyFont="1" applyFill="1" applyBorder="1"/>
    <xf numFmtId="164" fontId="7" fillId="4" borderId="0" xfId="0" applyNumberFormat="1" applyFont="1" applyFill="1"/>
    <xf numFmtId="164" fontId="94" fillId="0" borderId="28" xfId="0" applyNumberFormat="1" applyFont="1" applyBorder="1"/>
    <xf numFmtId="164" fontId="94" fillId="7" borderId="28" xfId="0" applyNumberFormat="1" applyFont="1" applyFill="1" applyBorder="1"/>
    <xf numFmtId="164" fontId="87" fillId="4" borderId="0" xfId="0" applyNumberFormat="1" applyFont="1" applyFill="1"/>
    <xf numFmtId="164" fontId="94" fillId="7" borderId="28" xfId="0" applyNumberFormat="1" applyFont="1" applyFill="1" applyBorder="1" applyAlignment="1">
      <alignment horizontal="right"/>
    </xf>
    <xf numFmtId="0" fontId="126" fillId="4" borderId="0" xfId="0" applyFont="1" applyFill="1"/>
    <xf numFmtId="0" fontId="33" fillId="7" borderId="0" xfId="0" applyFont="1" applyFill="1"/>
    <xf numFmtId="0" fontId="103" fillId="0" borderId="0" xfId="0" applyFont="1"/>
    <xf numFmtId="0" fontId="104" fillId="4" borderId="0" xfId="0" applyFont="1" applyFill="1"/>
    <xf numFmtId="0" fontId="127" fillId="0" borderId="0" xfId="0" applyFont="1"/>
    <xf numFmtId="0" fontId="86" fillId="4" borderId="0" xfId="0" applyFont="1" applyFill="1"/>
    <xf numFmtId="0" fontId="97" fillId="4" borderId="0" xfId="0" applyFont="1" applyFill="1" applyAlignment="1">
      <alignment horizontal="right"/>
    </xf>
    <xf numFmtId="164" fontId="97" fillId="6" borderId="0" xfId="0" applyNumberFormat="1" applyFont="1" applyFill="1"/>
    <xf numFmtId="164" fontId="97" fillId="4" borderId="0" xfId="0" applyNumberFormat="1" applyFont="1" applyFill="1"/>
    <xf numFmtId="0" fontId="88" fillId="4" borderId="0" xfId="2" applyFont="1" applyFill="1"/>
    <xf numFmtId="164" fontId="97" fillId="6" borderId="0" xfId="2" applyNumberFormat="1" applyFont="1" applyFill="1"/>
    <xf numFmtId="164" fontId="97" fillId="4" borderId="0" xfId="2" applyNumberFormat="1" applyFont="1" applyFill="1"/>
    <xf numFmtId="164" fontId="33" fillId="0" borderId="0" xfId="0" applyNumberFormat="1" applyFont="1"/>
    <xf numFmtId="164" fontId="6" fillId="4" borderId="0" xfId="0" applyNumberFormat="1" applyFont="1" applyFill="1"/>
    <xf numFmtId="164" fontId="7" fillId="0" borderId="34" xfId="0" applyNumberFormat="1" applyFont="1" applyBorder="1"/>
    <xf numFmtId="164" fontId="7" fillId="0" borderId="26" xfId="0" applyNumberFormat="1" applyFont="1" applyBorder="1"/>
    <xf numFmtId="0" fontId="97" fillId="6" borderId="28" xfId="0" applyFont="1" applyFill="1" applyBorder="1" applyAlignment="1">
      <alignment horizontal="right"/>
    </xf>
    <xf numFmtId="0" fontId="87" fillId="4" borderId="28" xfId="0" applyFont="1" applyFill="1" applyBorder="1"/>
    <xf numFmtId="0" fontId="97" fillId="6" borderId="28" xfId="0" applyFont="1" applyFill="1" applyBorder="1"/>
    <xf numFmtId="164" fontId="97" fillId="6" borderId="28" xfId="0" applyNumberFormat="1" applyFont="1" applyFill="1" applyBorder="1"/>
    <xf numFmtId="164" fontId="33" fillId="4" borderId="0" xfId="0" applyNumberFormat="1" applyFont="1" applyFill="1"/>
    <xf numFmtId="164" fontId="33" fillId="0" borderId="28" xfId="0" applyNumberFormat="1" applyFont="1" applyBorder="1"/>
    <xf numFmtId="164" fontId="6" fillId="4" borderId="28" xfId="0" applyNumberFormat="1" applyFont="1" applyFill="1" applyBorder="1"/>
    <xf numFmtId="164" fontId="6" fillId="0" borderId="28" xfId="0" applyNumberFormat="1" applyFont="1" applyBorder="1"/>
    <xf numFmtId="0" fontId="112" fillId="0" borderId="0" xfId="0" applyFont="1"/>
    <xf numFmtId="0" fontId="113" fillId="4" borderId="0" xfId="0" applyFont="1" applyFill="1"/>
    <xf numFmtId="0" fontId="128" fillId="0" borderId="0" xfId="0" applyFont="1"/>
    <xf numFmtId="164" fontId="33" fillId="7" borderId="0" xfId="0" applyNumberFormat="1" applyFont="1" applyFill="1"/>
    <xf numFmtId="164" fontId="116" fillId="7" borderId="0" xfId="0" applyNumberFormat="1" applyFont="1" applyFill="1"/>
    <xf numFmtId="164" fontId="97" fillId="6" borderId="18" xfId="0" applyNumberFormat="1" applyFont="1" applyFill="1" applyBorder="1"/>
    <xf numFmtId="164" fontId="94" fillId="7" borderId="9" xfId="0" applyNumberFormat="1" applyFont="1" applyFill="1" applyBorder="1"/>
    <xf numFmtId="164" fontId="87" fillId="6" borderId="0" xfId="0" applyNumberFormat="1" applyFont="1" applyFill="1"/>
    <xf numFmtId="164" fontId="87" fillId="6" borderId="17" xfId="0" applyNumberFormat="1" applyFont="1" applyFill="1" applyBorder="1"/>
    <xf numFmtId="164" fontId="94" fillId="0" borderId="0" xfId="0" applyNumberFormat="1" applyFont="1"/>
    <xf numFmtId="164" fontId="7" fillId="4" borderId="26" xfId="0" applyNumberFormat="1" applyFont="1" applyFill="1" applyBorder="1"/>
    <xf numFmtId="164" fontId="7" fillId="0" borderId="23" xfId="0" applyNumberFormat="1" applyFont="1" applyBorder="1"/>
    <xf numFmtId="164" fontId="7" fillId="4" borderId="23" xfId="0" applyNumberFormat="1" applyFont="1" applyFill="1" applyBorder="1"/>
    <xf numFmtId="0" fontId="129" fillId="4" borderId="0" xfId="0" applyFont="1" applyFill="1"/>
    <xf numFmtId="41" fontId="130" fillId="0" borderId="0" xfId="0" applyNumberFormat="1" applyFont="1"/>
    <xf numFmtId="41" fontId="130" fillId="4" borderId="0" xfId="0" applyNumberFormat="1" applyFont="1" applyFill="1"/>
    <xf numFmtId="41" fontId="29" fillId="4" borderId="0" xfId="0" applyNumberFormat="1" applyFont="1" applyFill="1"/>
    <xf numFmtId="41" fontId="29" fillId="0" borderId="0" xfId="0" applyNumberFormat="1" applyFont="1"/>
    <xf numFmtId="0" fontId="97" fillId="6" borderId="0" xfId="0" applyFont="1" applyFill="1" applyAlignment="1">
      <alignment horizontal="center" vertical="center"/>
    </xf>
    <xf numFmtId="0" fontId="97" fillId="4" borderId="0" xfId="0" applyFont="1" applyFill="1" applyAlignment="1">
      <alignment horizontal="center" vertical="center"/>
    </xf>
    <xf numFmtId="0" fontId="131" fillId="0" borderId="0" xfId="0" applyFont="1"/>
    <xf numFmtId="0" fontId="132" fillId="4" borderId="0" xfId="0" applyFont="1" applyFill="1"/>
    <xf numFmtId="0" fontId="33" fillId="7" borderId="0" xfId="0" applyFont="1" applyFill="1" applyAlignment="1">
      <alignment vertical="center"/>
    </xf>
    <xf numFmtId="0" fontId="97" fillId="4" borderId="0" xfId="0" applyFont="1" applyFill="1" applyAlignment="1">
      <alignment vertical="center"/>
    </xf>
    <xf numFmtId="0" fontId="133" fillId="7" borderId="0" xfId="0" applyFont="1" applyFill="1" applyAlignment="1">
      <alignment horizontal="left"/>
    </xf>
    <xf numFmtId="0" fontId="97" fillId="4" borderId="0" xfId="0" applyFont="1" applyFill="1" applyAlignment="1">
      <alignment horizontal="left"/>
    </xf>
    <xf numFmtId="0" fontId="33" fillId="7" borderId="0" xfId="0" applyFont="1" applyFill="1" applyAlignment="1">
      <alignment horizontal="left"/>
    </xf>
    <xf numFmtId="0" fontId="95" fillId="0" borderId="0" xfId="0" applyFont="1" applyAlignment="1">
      <alignment horizontal="left"/>
    </xf>
    <xf numFmtId="0" fontId="96" fillId="4" borderId="0" xfId="0" applyFont="1" applyFill="1" applyAlignment="1">
      <alignment horizontal="left"/>
    </xf>
    <xf numFmtId="0" fontId="94" fillId="0" borderId="0" xfId="0" applyFont="1" applyAlignment="1">
      <alignment horizontal="left"/>
    </xf>
    <xf numFmtId="0" fontId="87" fillId="4" borderId="0" xfId="0" applyFont="1" applyFill="1" applyAlignment="1">
      <alignment horizontal="left"/>
    </xf>
    <xf numFmtId="164" fontId="33" fillId="7" borderId="28" xfId="0" applyNumberFormat="1" applyFont="1" applyFill="1" applyBorder="1"/>
    <xf numFmtId="0" fontId="116" fillId="7" borderId="28" xfId="0" applyFont="1" applyFill="1" applyBorder="1"/>
    <xf numFmtId="164" fontId="97" fillId="4" borderId="18" xfId="0" applyNumberFormat="1" applyFont="1" applyFill="1" applyBorder="1"/>
    <xf numFmtId="164" fontId="97" fillId="6" borderId="35" xfId="0" applyNumberFormat="1" applyFont="1" applyFill="1" applyBorder="1"/>
    <xf numFmtId="164" fontId="97" fillId="4" borderId="28" xfId="0" applyNumberFormat="1" applyFont="1" applyFill="1" applyBorder="1"/>
    <xf numFmtId="164" fontId="94" fillId="4" borderId="9" xfId="0" applyNumberFormat="1" applyFont="1" applyFill="1" applyBorder="1"/>
    <xf numFmtId="164" fontId="94" fillId="7" borderId="36" xfId="0" applyNumberFormat="1" applyFont="1" applyFill="1" applyBorder="1"/>
    <xf numFmtId="164" fontId="87" fillId="4" borderId="17" xfId="0" applyNumberFormat="1" applyFont="1" applyFill="1" applyBorder="1"/>
    <xf numFmtId="164" fontId="87" fillId="6" borderId="37" xfId="0" applyNumberFormat="1" applyFont="1" applyFill="1" applyBorder="1"/>
    <xf numFmtId="164" fontId="7" fillId="0" borderId="27" xfId="0" applyNumberFormat="1" applyFont="1" applyBorder="1"/>
    <xf numFmtId="41" fontId="29" fillId="0" borderId="28" xfId="0" applyNumberFormat="1" applyFont="1" applyBorder="1"/>
    <xf numFmtId="0" fontId="134" fillId="4" borderId="0" xfId="0" applyFont="1" applyFill="1"/>
    <xf numFmtId="0" fontId="134" fillId="0" borderId="0" xfId="0" applyFont="1"/>
    <xf numFmtId="0" fontId="7" fillId="0" borderId="28" xfId="0" applyFont="1" applyBorder="1" applyAlignment="1">
      <alignment horizontal="right"/>
    </xf>
    <xf numFmtId="0" fontId="7" fillId="4" borderId="0" xfId="0" applyFont="1" applyFill="1" applyAlignment="1">
      <alignment horizontal="right"/>
    </xf>
    <xf numFmtId="0" fontId="97" fillId="6" borderId="28" xfId="0" applyFont="1" applyFill="1" applyBorder="1" applyAlignment="1">
      <alignment horizontal="center" vertical="center"/>
    </xf>
    <xf numFmtId="0" fontId="97" fillId="4" borderId="28" xfId="0" applyFont="1" applyFill="1" applyBorder="1" applyAlignment="1">
      <alignment horizontal="center" vertical="center"/>
    </xf>
    <xf numFmtId="164" fontId="7" fillId="4" borderId="28" xfId="0" applyNumberFormat="1" applyFont="1" applyFill="1" applyBorder="1"/>
    <xf numFmtId="0" fontId="101" fillId="0" borderId="0" xfId="0" applyFont="1" applyAlignment="1">
      <alignment horizontal="left"/>
    </xf>
    <xf numFmtId="0" fontId="135" fillId="7" borderId="0" xfId="0" applyFont="1" applyFill="1"/>
    <xf numFmtId="0" fontId="63" fillId="0" borderId="24" xfId="0" applyFont="1" applyBorder="1"/>
    <xf numFmtId="0" fontId="99" fillId="4" borderId="0" xfId="0" applyFont="1" applyFill="1" applyAlignment="1">
      <alignment horizontal="left" vertical="center"/>
    </xf>
    <xf numFmtId="0" fontId="97" fillId="4" borderId="0" xfId="0" applyFont="1" applyFill="1" applyAlignment="1">
      <alignment horizontal="left" vertical="center"/>
    </xf>
    <xf numFmtId="164" fontId="100" fillId="0" borderId="0" xfId="0" applyNumberFormat="1" applyFont="1"/>
    <xf numFmtId="164" fontId="136" fillId="4" borderId="0" xfId="0" applyNumberFormat="1" applyFont="1" applyFill="1"/>
    <xf numFmtId="164" fontId="136" fillId="0" borderId="0" xfId="0" applyNumberFormat="1" applyFont="1"/>
    <xf numFmtId="0" fontId="107" fillId="6" borderId="9" xfId="0" applyFont="1" applyFill="1" applyBorder="1"/>
    <xf numFmtId="0" fontId="107" fillId="4" borderId="0" xfId="0" applyFont="1" applyFill="1"/>
    <xf numFmtId="164" fontId="107" fillId="6" borderId="9" xfId="0" applyNumberFormat="1" applyFont="1" applyFill="1" applyBorder="1"/>
    <xf numFmtId="167" fontId="137" fillId="7" borderId="0" xfId="0" applyNumberFormat="1" applyFont="1" applyFill="1" applyAlignment="1">
      <alignment vertical="center"/>
    </xf>
    <xf numFmtId="167" fontId="137" fillId="4" borderId="0" xfId="0" applyNumberFormat="1" applyFont="1" applyFill="1"/>
    <xf numFmtId="167" fontId="137" fillId="4" borderId="0" xfId="0" applyNumberFormat="1" applyFont="1" applyFill="1" applyAlignment="1">
      <alignment vertical="center"/>
    </xf>
    <xf numFmtId="167" fontId="94" fillId="7" borderId="0" xfId="0" applyNumberFormat="1" applyFont="1" applyFill="1" applyAlignment="1">
      <alignment vertical="center"/>
    </xf>
    <xf numFmtId="167" fontId="94" fillId="4" borderId="0" xfId="0" applyNumberFormat="1" applyFont="1" applyFill="1" applyAlignment="1">
      <alignment vertical="center"/>
    </xf>
    <xf numFmtId="0" fontId="0" fillId="0" borderId="24" xfId="0" applyBorder="1" applyAlignment="1">
      <alignment horizontal="left" vertical="center"/>
    </xf>
    <xf numFmtId="0" fontId="0" fillId="4" borderId="24" xfId="0" applyFill="1" applyBorder="1" applyAlignment="1">
      <alignment horizontal="left" vertical="center"/>
    </xf>
    <xf numFmtId="164" fontId="138" fillId="0" borderId="0" xfId="0" applyNumberFormat="1" applyFont="1"/>
    <xf numFmtId="167" fontId="94" fillId="4" borderId="0" xfId="0" applyNumberFormat="1" applyFont="1" applyFill="1" applyAlignment="1">
      <alignment horizontal="right" vertical="center"/>
    </xf>
    <xf numFmtId="164" fontId="138" fillId="4" borderId="0" xfId="0" applyNumberFormat="1" applyFont="1" applyFill="1"/>
    <xf numFmtId="164" fontId="97" fillId="6" borderId="0" xfId="0" applyNumberFormat="1" applyFont="1" applyFill="1" applyAlignment="1">
      <alignment horizontal="right" vertical="center"/>
    </xf>
    <xf numFmtId="164" fontId="6" fillId="0" borderId="26" xfId="0" applyNumberFormat="1" applyFont="1" applyBorder="1"/>
    <xf numFmtId="164" fontId="6" fillId="4" borderId="26" xfId="0" applyNumberFormat="1" applyFont="1" applyFill="1" applyBorder="1"/>
    <xf numFmtId="41" fontId="29" fillId="0" borderId="23" xfId="0" applyNumberFormat="1" applyFont="1" applyBorder="1"/>
    <xf numFmtId="41" fontId="29" fillId="4" borderId="23" xfId="0" applyNumberFormat="1" applyFont="1" applyFill="1" applyBorder="1"/>
    <xf numFmtId="0" fontId="139" fillId="0" borderId="0" xfId="0" applyFont="1"/>
    <xf numFmtId="0" fontId="139" fillId="4" borderId="0" xfId="0" applyFont="1" applyFill="1"/>
    <xf numFmtId="0" fontId="140" fillId="0" borderId="0" xfId="0" applyFont="1"/>
    <xf numFmtId="0" fontId="124" fillId="4" borderId="0" xfId="0" applyFont="1" applyFill="1"/>
    <xf numFmtId="0" fontId="87" fillId="6" borderId="0" xfId="0" applyFont="1" applyFill="1" applyAlignment="1">
      <alignment horizontal="right"/>
    </xf>
    <xf numFmtId="0" fontId="87" fillId="4" borderId="0" xfId="0" applyFont="1" applyFill="1" applyAlignment="1">
      <alignment horizontal="right"/>
    </xf>
    <xf numFmtId="164" fontId="116" fillId="0" borderId="0" xfId="0" applyNumberFormat="1" applyFont="1"/>
    <xf numFmtId="0" fontId="141" fillId="7" borderId="0" xfId="0" applyFont="1" applyFill="1"/>
    <xf numFmtId="164" fontId="136" fillId="0" borderId="28" xfId="0" applyNumberFormat="1" applyFont="1" applyBorder="1"/>
    <xf numFmtId="0" fontId="7" fillId="0" borderId="0" xfId="0" applyFont="1" applyAlignment="1">
      <alignment horizontal="left" vertical="center"/>
    </xf>
    <xf numFmtId="0" fontId="7" fillId="4" borderId="28" xfId="0" applyFont="1" applyFill="1" applyBorder="1"/>
    <xf numFmtId="0" fontId="7" fillId="4" borderId="0" xfId="0" applyFont="1" applyFill="1" applyAlignment="1">
      <alignment horizontal="left" vertical="center"/>
    </xf>
    <xf numFmtId="164" fontId="138" fillId="0" borderId="28" xfId="0" applyNumberFormat="1" applyFont="1" applyBorder="1"/>
    <xf numFmtId="164" fontId="138" fillId="4" borderId="28" xfId="0" applyNumberFormat="1" applyFont="1" applyFill="1" applyBorder="1"/>
    <xf numFmtId="164" fontId="6" fillId="0" borderId="34" xfId="0" applyNumberFormat="1" applyFont="1" applyBorder="1"/>
    <xf numFmtId="41" fontId="29" fillId="0" borderId="27" xfId="0" applyNumberFormat="1" applyFont="1" applyBorder="1"/>
    <xf numFmtId="0" fontId="63" fillId="0" borderId="28" xfId="0" applyFont="1" applyBorder="1"/>
    <xf numFmtId="0" fontId="66" fillId="6" borderId="28" xfId="0" applyFont="1" applyFill="1" applyBorder="1"/>
    <xf numFmtId="0" fontId="91" fillId="4" borderId="28" xfId="0" applyFont="1" applyFill="1" applyBorder="1"/>
    <xf numFmtId="0" fontId="87" fillId="6" borderId="28" xfId="0" applyFont="1" applyFill="1" applyBorder="1" applyAlignment="1">
      <alignment horizontal="right"/>
    </xf>
    <xf numFmtId="0" fontId="87" fillId="4" borderId="28" xfId="0" applyFont="1" applyFill="1" applyBorder="1" applyAlignment="1">
      <alignment horizontal="right"/>
    </xf>
    <xf numFmtId="0" fontId="97" fillId="6" borderId="28" xfId="0" applyFont="1" applyFill="1" applyBorder="1" applyAlignment="1">
      <alignment horizontal="center"/>
    </xf>
    <xf numFmtId="0" fontId="6" fillId="0" borderId="28" xfId="0" applyFont="1" applyBorder="1" applyAlignment="1">
      <alignment horizontal="center"/>
    </xf>
    <xf numFmtId="0" fontId="116" fillId="0" borderId="28" xfId="0" applyFont="1" applyBorder="1"/>
    <xf numFmtId="0" fontId="63" fillId="4" borderId="0" xfId="0" applyFont="1" applyFill="1"/>
    <xf numFmtId="0" fontId="63" fillId="0" borderId="0" xfId="0" applyFont="1" applyAlignment="1">
      <alignment horizontal="left" vertical="center"/>
    </xf>
    <xf numFmtId="0" fontId="91" fillId="4" borderId="0" xfId="0" applyFont="1" applyFill="1" applyAlignment="1">
      <alignment horizontal="left"/>
    </xf>
    <xf numFmtId="0" fontId="142" fillId="4" borderId="0" xfId="0" applyFont="1" applyFill="1"/>
    <xf numFmtId="0" fontId="88" fillId="4" borderId="0" xfId="0" applyFont="1" applyFill="1"/>
    <xf numFmtId="0" fontId="89" fillId="4" borderId="26" xfId="0" applyFont="1" applyFill="1" applyBorder="1"/>
    <xf numFmtId="164" fontId="33" fillId="0" borderId="26" xfId="0" applyNumberFormat="1" applyFont="1" applyBorder="1"/>
    <xf numFmtId="164" fontId="33" fillId="4" borderId="26" xfId="0" applyNumberFormat="1" applyFont="1" applyFill="1" applyBorder="1"/>
    <xf numFmtId="0" fontId="89" fillId="4" borderId="23" xfId="0" applyFont="1" applyFill="1" applyBorder="1"/>
    <xf numFmtId="164" fontId="33" fillId="0" borderId="23" xfId="0" applyNumberFormat="1" applyFont="1" applyBorder="1"/>
    <xf numFmtId="164" fontId="33" fillId="4" borderId="23" xfId="0" applyNumberFormat="1" applyFont="1" applyFill="1" applyBorder="1"/>
    <xf numFmtId="0" fontId="88" fillId="7" borderId="0" xfId="0" applyFont="1" applyFill="1"/>
    <xf numFmtId="0" fontId="143" fillId="6" borderId="0" xfId="0" applyFont="1" applyFill="1"/>
    <xf numFmtId="0" fontId="144" fillId="0" borderId="0" xfId="0" applyFont="1"/>
    <xf numFmtId="164" fontId="33" fillId="0" borderId="34" xfId="0" applyNumberFormat="1" applyFont="1" applyBorder="1"/>
    <xf numFmtId="164" fontId="33" fillId="0" borderId="27" xfId="0" applyNumberFormat="1" applyFont="1" applyBorder="1"/>
    <xf numFmtId="0" fontId="145" fillId="0" borderId="24" xfId="0" applyFont="1" applyBorder="1"/>
    <xf numFmtId="0" fontId="141" fillId="0" borderId="0" xfId="0" applyFont="1" applyAlignment="1">
      <alignment horizontal="left" vertical="center"/>
    </xf>
    <xf numFmtId="0" fontId="87" fillId="4" borderId="0" xfId="0" applyFont="1" applyFill="1" applyAlignment="1">
      <alignment horizontal="left" vertical="center"/>
    </xf>
    <xf numFmtId="0" fontId="94" fillId="0" borderId="0" xfId="0" applyFont="1" applyAlignment="1">
      <alignment horizontal="left" vertical="center"/>
    </xf>
    <xf numFmtId="164" fontId="33" fillId="0" borderId="0" xfId="2" applyNumberFormat="1" applyFont="1"/>
    <xf numFmtId="0" fontId="141" fillId="0" borderId="0" xfId="0" applyFont="1"/>
    <xf numFmtId="0" fontId="145" fillId="0" borderId="0" xfId="0" applyFont="1"/>
    <xf numFmtId="168" fontId="94" fillId="4" borderId="0" xfId="0" applyNumberFormat="1" applyFont="1" applyFill="1" applyAlignment="1">
      <alignment horizontal="justify"/>
    </xf>
    <xf numFmtId="168" fontId="87" fillId="4" borderId="0" xfId="0" applyNumberFormat="1" applyFont="1" applyFill="1" applyAlignment="1">
      <alignment horizontal="justify"/>
    </xf>
    <xf numFmtId="168" fontId="7" fillId="0" borderId="0" xfId="0" applyNumberFormat="1" applyFont="1" applyAlignment="1">
      <alignment horizontal="justify"/>
    </xf>
    <xf numFmtId="168" fontId="91" fillId="4" borderId="0" xfId="0" applyNumberFormat="1" applyFont="1" applyFill="1" applyAlignment="1">
      <alignment horizontal="justify"/>
    </xf>
    <xf numFmtId="0" fontId="94" fillId="0" borderId="28" xfId="0" applyFont="1" applyBorder="1" applyAlignment="1">
      <alignment horizontal="left" vertical="center"/>
    </xf>
    <xf numFmtId="164" fontId="33" fillId="4" borderId="0" xfId="2" applyNumberFormat="1" applyFont="1" applyFill="1"/>
    <xf numFmtId="0" fontId="146" fillId="0" borderId="0" xfId="0" applyFont="1" applyAlignment="1">
      <alignment horizontal="left" indent="8"/>
    </xf>
    <xf numFmtId="0" fontId="147" fillId="0" borderId="0" xfId="0" applyFont="1"/>
    <xf numFmtId="0" fontId="148" fillId="0" borderId="9" xfId="0" applyFont="1" applyBorder="1"/>
    <xf numFmtId="0" fontId="147" fillId="0" borderId="9" xfId="0" applyFont="1" applyBorder="1"/>
    <xf numFmtId="0" fontId="149" fillId="0" borderId="0" xfId="0" applyFont="1"/>
    <xf numFmtId="0" fontId="150" fillId="0" borderId="0" xfId="0" applyFont="1"/>
    <xf numFmtId="0" fontId="151" fillId="0" borderId="0" xfId="0" applyFont="1"/>
    <xf numFmtId="0" fontId="152" fillId="0" borderId="0" xfId="0" applyFont="1" applyAlignment="1">
      <alignment horizontal="left"/>
    </xf>
    <xf numFmtId="0" fontId="73" fillId="0" borderId="0" xfId="0" applyFont="1"/>
    <xf numFmtId="0" fontId="154" fillId="0" borderId="0" xfId="0" applyFont="1" applyAlignment="1">
      <alignment horizontal="left" indent="4"/>
    </xf>
    <xf numFmtId="0" fontId="155" fillId="0" borderId="0" xfId="0" applyFont="1"/>
    <xf numFmtId="0" fontId="155" fillId="0" borderId="0" xfId="0" applyFont="1" applyAlignment="1">
      <alignment horizontal="left" indent="4"/>
    </xf>
    <xf numFmtId="0" fontId="156" fillId="0" borderId="0" xfId="0" applyFont="1"/>
    <xf numFmtId="0" fontId="23" fillId="0" borderId="28" xfId="0" applyFont="1" applyBorder="1"/>
    <xf numFmtId="0" fontId="19" fillId="0" borderId="0" xfId="0" applyFont="1" applyAlignment="1">
      <alignment horizontal="right"/>
    </xf>
    <xf numFmtId="0" fontId="0" fillId="0" borderId="0" xfId="0" applyAlignment="1">
      <alignment horizontal="right"/>
    </xf>
    <xf numFmtId="0" fontId="19" fillId="0" borderId="0" xfId="0" applyFont="1" applyAlignment="1">
      <alignment vertical="top"/>
    </xf>
    <xf numFmtId="0" fontId="19" fillId="4" borderId="0" xfId="0" applyFont="1" applyFill="1" applyAlignment="1">
      <alignment vertical="top"/>
    </xf>
    <xf numFmtId="0" fontId="27" fillId="4" borderId="0" xfId="0" applyFont="1" applyFill="1"/>
    <xf numFmtId="0" fontId="23" fillId="4" borderId="0" xfId="0" applyFont="1" applyFill="1"/>
    <xf numFmtId="0" fontId="80" fillId="0" borderId="26" xfId="0" applyFont="1" applyBorder="1"/>
    <xf numFmtId="0" fontId="80" fillId="0" borderId="23" xfId="0" applyFont="1" applyBorder="1"/>
    <xf numFmtId="0" fontId="19" fillId="0" borderId="0" xfId="0" applyFont="1" applyAlignment="1">
      <alignment horizontal="justify"/>
    </xf>
    <xf numFmtId="0" fontId="7" fillId="0" borderId="24" xfId="0" applyFont="1" applyBorder="1"/>
    <xf numFmtId="0" fontId="19" fillId="0" borderId="0" xfId="0" applyFont="1" applyAlignment="1">
      <alignment horizontal="left"/>
    </xf>
    <xf numFmtId="0" fontId="7" fillId="0" borderId="0" xfId="0" applyFont="1" applyAlignment="1">
      <alignment horizontal="justify"/>
    </xf>
    <xf numFmtId="0" fontId="157" fillId="0" borderId="0" xfId="0" applyFont="1" applyAlignment="1">
      <alignment horizontal="justify"/>
    </xf>
    <xf numFmtId="0" fontId="158" fillId="0" borderId="2" xfId="2" applyFont="1" applyBorder="1"/>
    <xf numFmtId="0" fontId="15" fillId="0" borderId="13" xfId="2" applyFont="1" applyBorder="1"/>
    <xf numFmtId="0" fontId="15" fillId="0" borderId="0" xfId="2" applyFont="1"/>
    <xf numFmtId="0" fontId="159" fillId="0" borderId="30" xfId="0" applyFont="1" applyBorder="1"/>
    <xf numFmtId="0" fontId="7" fillId="0" borderId="38" xfId="2" applyFont="1" applyBorder="1" applyAlignment="1">
      <alignment wrapText="1"/>
    </xf>
    <xf numFmtId="0" fontId="159" fillId="0" borderId="39" xfId="0" applyFont="1" applyBorder="1"/>
    <xf numFmtId="0" fontId="7" fillId="0" borderId="40" xfId="2" applyFont="1" applyBorder="1"/>
    <xf numFmtId="0" fontId="7" fillId="0" borderId="40" xfId="2" applyFont="1" applyBorder="1" applyAlignment="1">
      <alignment horizontal="left"/>
    </xf>
    <xf numFmtId="0" fontId="27" fillId="0" borderId="0" xfId="2" applyFont="1" applyAlignment="1">
      <alignment horizontal="left"/>
    </xf>
    <xf numFmtId="0" fontId="7" fillId="0" borderId="0" xfId="0" applyFont="1" applyAlignment="1">
      <alignment vertical="top" wrapText="1"/>
    </xf>
    <xf numFmtId="0" fontId="7" fillId="0" borderId="0" xfId="2" applyFont="1" applyAlignment="1">
      <alignment horizontal="left"/>
    </xf>
    <xf numFmtId="0" fontId="19" fillId="0" borderId="0" xfId="0" applyFont="1" applyAlignment="1">
      <alignment vertical="top" wrapText="1"/>
    </xf>
    <xf numFmtId="0" fontId="159" fillId="0" borderId="32" xfId="0" applyFont="1" applyBorder="1"/>
    <xf numFmtId="0" fontId="7" fillId="0" borderId="41" xfId="2" applyFont="1" applyBorder="1" applyAlignment="1">
      <alignment horizontal="left"/>
    </xf>
    <xf numFmtId="0" fontId="5" fillId="0" borderId="30" xfId="0" applyFont="1" applyBorder="1"/>
    <xf numFmtId="0" fontId="7" fillId="0" borderId="38" xfId="2" applyFont="1" applyBorder="1" applyAlignment="1">
      <alignment horizontal="left"/>
    </xf>
    <xf numFmtId="0" fontId="159" fillId="0" borderId="42" xfId="0" applyFont="1" applyBorder="1"/>
    <xf numFmtId="0" fontId="6" fillId="0" borderId="43" xfId="2" applyFont="1" applyBorder="1"/>
    <xf numFmtId="0" fontId="160" fillId="0" borderId="44" xfId="2" applyFont="1" applyBorder="1"/>
    <xf numFmtId="0" fontId="0" fillId="0" borderId="45" xfId="0" applyBorder="1"/>
    <xf numFmtId="0" fontId="159" fillId="0" borderId="46" xfId="0" applyFont="1" applyBorder="1"/>
    <xf numFmtId="0" fontId="7" fillId="0" borderId="43" xfId="2" applyFont="1" applyBorder="1"/>
    <xf numFmtId="0" fontId="7" fillId="0" borderId="40" xfId="2" applyFont="1" applyBorder="1" applyAlignment="1">
      <alignment wrapText="1"/>
    </xf>
    <xf numFmtId="0" fontId="14" fillId="0" borderId="40" xfId="2" applyFont="1" applyBorder="1"/>
    <xf numFmtId="0" fontId="159" fillId="0" borderId="47" xfId="0" applyFont="1" applyBorder="1"/>
    <xf numFmtId="0" fontId="14" fillId="0" borderId="48" xfId="2" applyFont="1" applyBorder="1" applyAlignment="1">
      <alignment horizontal="left"/>
    </xf>
    <xf numFmtId="0" fontId="159" fillId="0" borderId="49" xfId="0" applyFont="1" applyBorder="1"/>
    <xf numFmtId="0" fontId="14" fillId="0" borderId="45" xfId="2" applyFont="1" applyBorder="1" applyAlignment="1">
      <alignment horizontal="left"/>
    </xf>
    <xf numFmtId="0" fontId="160" fillId="0" borderId="46" xfId="2" applyFont="1" applyBorder="1"/>
    <xf numFmtId="172" fontId="14" fillId="0" borderId="43" xfId="2" applyNumberFormat="1" applyFont="1" applyBorder="1" applyAlignment="1">
      <alignment horizontal="left"/>
    </xf>
    <xf numFmtId="172" fontId="7" fillId="0" borderId="0" xfId="2" applyNumberFormat="1" applyFont="1" applyAlignment="1">
      <alignment horizontal="left"/>
    </xf>
    <xf numFmtId="0" fontId="160" fillId="0" borderId="42" xfId="2" applyFont="1" applyBorder="1"/>
    <xf numFmtId="0" fontId="160" fillId="0" borderId="39" xfId="0" applyFont="1" applyBorder="1"/>
    <xf numFmtId="0" fontId="14" fillId="0" borderId="43" xfId="2" applyFont="1" applyBorder="1"/>
    <xf numFmtId="0" fontId="160" fillId="0" borderId="50" xfId="2" applyFont="1" applyBorder="1"/>
    <xf numFmtId="0" fontId="14" fillId="0" borderId="45" xfId="2" applyFont="1" applyBorder="1"/>
    <xf numFmtId="0" fontId="160" fillId="0" borderId="39" xfId="2" applyFont="1" applyBorder="1"/>
    <xf numFmtId="0" fontId="14" fillId="0" borderId="40" xfId="2" applyFont="1" applyBorder="1" applyAlignment="1">
      <alignment horizontal="left"/>
    </xf>
    <xf numFmtId="0" fontId="27" fillId="0" borderId="51" xfId="2" applyFont="1" applyBorder="1" applyAlignment="1">
      <alignment horizontal="center"/>
    </xf>
    <xf numFmtId="0" fontId="27" fillId="0" borderId="0" xfId="2" applyFont="1" applyAlignment="1">
      <alignment horizontal="center"/>
    </xf>
    <xf numFmtId="0" fontId="13" fillId="0" borderId="51" xfId="2" applyFont="1" applyBorder="1"/>
    <xf numFmtId="0" fontId="13" fillId="0" borderId="0" xfId="2" applyFont="1"/>
    <xf numFmtId="0" fontId="160" fillId="0" borderId="32" xfId="2" applyFont="1" applyBorder="1"/>
    <xf numFmtId="0" fontId="14" fillId="0" borderId="41" xfId="2" applyFont="1" applyBorder="1"/>
    <xf numFmtId="0" fontId="160" fillId="0" borderId="0" xfId="2" applyFont="1"/>
    <xf numFmtId="0" fontId="3" fillId="0" borderId="0" xfId="0" applyFont="1"/>
    <xf numFmtId="0" fontId="160" fillId="0" borderId="30" xfId="2" applyFont="1" applyBorder="1"/>
    <xf numFmtId="0" fontId="7" fillId="0" borderId="31" xfId="2" applyFont="1" applyBorder="1" applyAlignment="1">
      <alignment horizontal="left"/>
    </xf>
    <xf numFmtId="0" fontId="7" fillId="0" borderId="33" xfId="0" applyFont="1" applyBorder="1" applyAlignment="1">
      <alignment horizontal="left"/>
    </xf>
    <xf numFmtId="0" fontId="6" fillId="0" borderId="9" xfId="0" applyFont="1" applyBorder="1"/>
    <xf numFmtId="0" fontId="6" fillId="0" borderId="9" xfId="2" applyFont="1" applyBorder="1"/>
    <xf numFmtId="171" fontId="6" fillId="0" borderId="0" xfId="0" applyNumberFormat="1" applyFont="1"/>
    <xf numFmtId="0" fontId="7" fillId="0" borderId="0" xfId="0" applyFont="1" applyAlignment="1">
      <alignment wrapText="1"/>
    </xf>
    <xf numFmtId="0" fontId="6" fillId="0" borderId="9" xfId="0" applyFont="1" applyBorder="1" applyAlignment="1">
      <alignment horizontal="center"/>
    </xf>
    <xf numFmtId="0" fontId="7" fillId="0" borderId="0" xfId="2" applyFont="1" applyAlignment="1">
      <alignment wrapText="1"/>
    </xf>
    <xf numFmtId="164" fontId="7" fillId="0" borderId="0" xfId="0" applyNumberFormat="1" applyFont="1" applyAlignment="1">
      <alignment horizontal="center"/>
    </xf>
    <xf numFmtId="167" fontId="7" fillId="0" borderId="9" xfId="0" applyNumberFormat="1" applyFont="1" applyBorder="1" applyAlignment="1">
      <alignment horizontal="center"/>
    </xf>
    <xf numFmtId="0" fontId="7" fillId="0" borderId="0" xfId="0" quotePrefix="1" applyFont="1"/>
    <xf numFmtId="0" fontId="97" fillId="6" borderId="0" xfId="0" quotePrefix="1" applyFont="1" applyFill="1"/>
    <xf numFmtId="0" fontId="7" fillId="0" borderId="13" xfId="0" quotePrefix="1" applyFont="1" applyBorder="1" applyAlignment="1">
      <alignment horizontal="center"/>
    </xf>
    <xf numFmtId="0" fontId="7" fillId="0" borderId="14" xfId="0" quotePrefix="1" applyFont="1" applyBorder="1" applyAlignment="1">
      <alignment horizontal="center"/>
    </xf>
    <xf numFmtId="0" fontId="153" fillId="0" borderId="0" xfId="0" applyFont="1" applyAlignment="1">
      <alignment horizontal="right"/>
    </xf>
    <xf numFmtId="1" fontId="7" fillId="0" borderId="0" xfId="0" applyNumberFormat="1" applyFont="1" applyAlignment="1">
      <alignment horizontal="left"/>
    </xf>
    <xf numFmtId="1" fontId="7" fillId="0" borderId="28" xfId="0" applyNumberFormat="1" applyFont="1" applyBorder="1" applyAlignment="1">
      <alignment horizontal="left"/>
    </xf>
    <xf numFmtId="0" fontId="7" fillId="0" borderId="0" xfId="0" applyFont="1" applyAlignment="1">
      <alignment horizontal="center"/>
    </xf>
    <xf numFmtId="0" fontId="7" fillId="0" borderId="28" xfId="0" applyFont="1" applyBorder="1" applyAlignment="1">
      <alignment horizontal="center"/>
    </xf>
    <xf numFmtId="0" fontId="0" fillId="0" borderId="0" xfId="0" applyAlignment="1">
      <alignment wrapText="1"/>
    </xf>
    <xf numFmtId="0" fontId="7" fillId="0" borderId="0" xfId="0" applyFont="1" applyAlignment="1">
      <alignment horizontal="right"/>
    </xf>
    <xf numFmtId="0" fontId="7" fillId="0" borderId="0" xfId="0" applyFont="1" applyAlignment="1">
      <alignment horizontal="left" wrapText="1"/>
    </xf>
    <xf numFmtId="164" fontId="67" fillId="7" borderId="4" xfId="0" applyNumberFormat="1" applyFont="1" applyFill="1" applyBorder="1" applyAlignment="1">
      <alignment horizontal="center"/>
    </xf>
    <xf numFmtId="164" fontId="67" fillId="7" borderId="12" xfId="0" applyNumberFormat="1" applyFont="1" applyFill="1" applyBorder="1" applyAlignment="1">
      <alignment horizontal="center"/>
    </xf>
    <xf numFmtId="164" fontId="67" fillId="7" borderId="29" xfId="0" applyNumberFormat="1" applyFont="1" applyFill="1" applyBorder="1" applyAlignment="1">
      <alignment horizontal="center"/>
    </xf>
    <xf numFmtId="167" fontId="69" fillId="4" borderId="0" xfId="0" applyNumberFormat="1" applyFont="1" applyFill="1" applyAlignment="1">
      <alignment horizontal="center"/>
    </xf>
    <xf numFmtId="167" fontId="69" fillId="4" borderId="28" xfId="0" applyNumberFormat="1" applyFont="1" applyFill="1" applyBorder="1" applyAlignment="1">
      <alignment horizontal="center"/>
    </xf>
    <xf numFmtId="167" fontId="67" fillId="7" borderId="4" xfId="0" applyNumberFormat="1" applyFont="1" applyFill="1" applyBorder="1" applyAlignment="1">
      <alignment horizontal="center"/>
    </xf>
    <xf numFmtId="167" fontId="67" fillId="7" borderId="12" xfId="0" applyNumberFormat="1" applyFont="1" applyFill="1" applyBorder="1" applyAlignment="1">
      <alignment horizontal="center"/>
    </xf>
    <xf numFmtId="167" fontId="67" fillId="7" borderId="29" xfId="0" applyNumberFormat="1" applyFont="1" applyFill="1" applyBorder="1" applyAlignment="1">
      <alignment horizontal="center"/>
    </xf>
    <xf numFmtId="164" fontId="69" fillId="4" borderId="0" xfId="1" applyFont="1" applyFill="1" applyBorder="1" applyAlignment="1">
      <alignment horizontal="center"/>
    </xf>
    <xf numFmtId="164" fontId="69" fillId="4" borderId="28" xfId="1" applyFont="1" applyFill="1" applyBorder="1" applyAlignment="1">
      <alignment horizontal="center"/>
    </xf>
    <xf numFmtId="167" fontId="69" fillId="7" borderId="4" xfId="0" applyNumberFormat="1" applyFont="1" applyFill="1" applyBorder="1" applyAlignment="1">
      <alignment horizontal="center"/>
    </xf>
    <xf numFmtId="167" fontId="69" fillId="7" borderId="12" xfId="0" applyNumberFormat="1" applyFont="1" applyFill="1" applyBorder="1" applyAlignment="1">
      <alignment horizontal="center"/>
    </xf>
    <xf numFmtId="167" fontId="69" fillId="7" borderId="29" xfId="0" applyNumberFormat="1" applyFont="1" applyFill="1" applyBorder="1" applyAlignment="1">
      <alignment horizontal="center"/>
    </xf>
    <xf numFmtId="167" fontId="67" fillId="4" borderId="0" xfId="0" applyNumberFormat="1" applyFont="1" applyFill="1" applyAlignment="1">
      <alignment horizontal="center"/>
    </xf>
    <xf numFmtId="167" fontId="67" fillId="4" borderId="28" xfId="0" applyNumberFormat="1" applyFont="1" applyFill="1" applyBorder="1" applyAlignment="1">
      <alignment horizontal="center"/>
    </xf>
    <xf numFmtId="0" fontId="69" fillId="7" borderId="4" xfId="0" applyFont="1" applyFill="1" applyBorder="1" applyAlignment="1">
      <alignment horizontal="center"/>
    </xf>
    <xf numFmtId="0" fontId="69" fillId="7" borderId="12" xfId="0" applyFont="1" applyFill="1" applyBorder="1" applyAlignment="1">
      <alignment horizontal="center"/>
    </xf>
    <xf numFmtId="0" fontId="69" fillId="7" borderId="29" xfId="0" applyFont="1" applyFill="1" applyBorder="1" applyAlignment="1">
      <alignment horizontal="center"/>
    </xf>
    <xf numFmtId="0" fontId="69" fillId="4" borderId="0" xfId="0" applyFont="1" applyFill="1" applyAlignment="1">
      <alignment horizontal="center"/>
    </xf>
    <xf numFmtId="0" fontId="69" fillId="4" borderId="28" xfId="0" applyFont="1" applyFill="1" applyBorder="1" applyAlignment="1">
      <alignment horizontal="center"/>
    </xf>
    <xf numFmtId="164" fontId="69" fillId="4" borderId="0" xfId="0" applyNumberFormat="1" applyFont="1" applyFill="1" applyAlignment="1">
      <alignment horizontal="center"/>
    </xf>
    <xf numFmtId="164" fontId="69" fillId="4" borderId="28" xfId="0" applyNumberFormat="1" applyFont="1" applyFill="1" applyBorder="1" applyAlignment="1">
      <alignment horizontal="center"/>
    </xf>
    <xf numFmtId="0" fontId="67" fillId="7" borderId="12" xfId="0" applyFont="1" applyFill="1" applyBorder="1" applyAlignment="1">
      <alignment horizontal="left"/>
    </xf>
    <xf numFmtId="0" fontId="67" fillId="7" borderId="29" xfId="0" applyFont="1" applyFill="1" applyBorder="1" applyAlignment="1">
      <alignment horizontal="left"/>
    </xf>
    <xf numFmtId="0" fontId="94" fillId="7" borderId="0" xfId="0" applyFont="1" applyFill="1" applyAlignment="1">
      <alignment horizontal="center"/>
    </xf>
    <xf numFmtId="167" fontId="6" fillId="0" borderId="0" xfId="0" applyNumberFormat="1" applyFont="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7" fillId="0" borderId="4" xfId="0" applyFont="1" applyBorder="1" applyAlignment="1">
      <alignment horizontal="center" vertical="top" wrapText="1"/>
    </xf>
    <xf numFmtId="0" fontId="0" fillId="0" borderId="5" xfId="0" applyBorder="1"/>
    <xf numFmtId="0" fontId="7" fillId="0" borderId="2" xfId="0" applyFont="1" applyBorder="1" applyAlignment="1">
      <alignment horizontal="center" vertical="top"/>
    </xf>
    <xf numFmtId="0" fontId="7" fillId="0" borderId="3" xfId="0" applyFont="1" applyBorder="1" applyAlignment="1">
      <alignment horizontal="center" vertical="top"/>
    </xf>
    <xf numFmtId="0" fontId="7" fillId="0" borderId="10" xfId="0" applyFont="1" applyBorder="1" applyAlignment="1">
      <alignment horizontal="center" vertical="top"/>
    </xf>
    <xf numFmtId="0" fontId="7" fillId="0" borderId="11" xfId="0" applyFont="1" applyBorder="1" applyAlignment="1">
      <alignment horizontal="center" vertical="top"/>
    </xf>
    <xf numFmtId="0" fontId="7" fillId="0" borderId="7" xfId="0" applyFont="1" applyBorder="1" applyAlignment="1">
      <alignment horizontal="center" vertical="top"/>
    </xf>
    <xf numFmtId="0" fontId="7" fillId="0" borderId="8" xfId="0" applyFont="1" applyBorder="1" applyAlignment="1">
      <alignment horizontal="center" vertical="top"/>
    </xf>
    <xf numFmtId="0" fontId="7" fillId="0" borderId="12" xfId="0" applyFont="1" applyBorder="1" applyAlignment="1">
      <alignment horizontal="center" vertical="top" wrapText="1"/>
    </xf>
    <xf numFmtId="0" fontId="7" fillId="0" borderId="5" xfId="0" applyFont="1" applyBorder="1" applyAlignment="1">
      <alignment horizontal="center" vertical="top" wrapText="1"/>
    </xf>
    <xf numFmtId="0" fontId="7" fillId="0" borderId="2" xfId="0" applyFont="1" applyBorder="1" applyAlignment="1">
      <alignment horizontal="center"/>
    </xf>
    <xf numFmtId="0" fontId="0" fillId="0" borderId="3" xfId="0" applyBorder="1"/>
    <xf numFmtId="0" fontId="7" fillId="0" borderId="4" xfId="0" applyFont="1" applyBorder="1" applyAlignment="1">
      <alignment horizontal="center" vertical="center" wrapText="1"/>
    </xf>
    <xf numFmtId="0" fontId="7" fillId="0" borderId="5" xfId="0" applyFont="1" applyBorder="1" applyAlignment="1">
      <alignment horizontal="center" vertical="center"/>
    </xf>
    <xf numFmtId="0" fontId="7" fillId="0" borderId="12" xfId="0" applyFont="1" applyBorder="1" applyAlignment="1">
      <alignment horizontal="center" vertical="top"/>
    </xf>
    <xf numFmtId="0" fontId="7" fillId="0" borderId="5" xfId="0" applyFont="1" applyBorder="1" applyAlignment="1">
      <alignment horizontal="center" vertical="top"/>
    </xf>
    <xf numFmtId="0" fontId="7" fillId="0" borderId="4" xfId="0" applyFont="1" applyBorder="1" applyAlignment="1">
      <alignment horizontal="center" vertical="center"/>
    </xf>
    <xf numFmtId="0" fontId="7" fillId="0" borderId="12" xfId="0" applyFont="1" applyBorder="1" applyAlignment="1">
      <alignment horizontal="center" vertical="center"/>
    </xf>
    <xf numFmtId="0" fontId="7" fillId="0" borderId="4" xfId="0" applyFont="1" applyBorder="1" applyAlignment="1">
      <alignment horizontal="center"/>
    </xf>
    <xf numFmtId="0" fontId="7" fillId="0" borderId="5" xfId="0" applyFont="1" applyBorder="1" applyAlignment="1">
      <alignment horizontal="center"/>
    </xf>
    <xf numFmtId="0" fontId="14" fillId="0" borderId="4" xfId="0" applyFont="1" applyBorder="1" applyAlignment="1">
      <alignment horizontal="left" vertical="center"/>
    </xf>
    <xf numFmtId="0" fontId="18" fillId="0" borderId="12" xfId="0" applyFont="1" applyBorder="1" applyAlignment="1">
      <alignment horizontal="left" vertical="center"/>
    </xf>
    <xf numFmtId="0" fontId="18" fillId="0" borderId="5" xfId="0" applyFont="1" applyBorder="1" applyAlignment="1">
      <alignment horizontal="left" vertical="center"/>
    </xf>
    <xf numFmtId="0" fontId="7" fillId="0" borderId="12" xfId="0" applyFont="1" applyBorder="1" applyAlignment="1">
      <alignment horizontal="center"/>
    </xf>
    <xf numFmtId="0" fontId="7" fillId="0" borderId="4" xfId="0" applyFont="1" applyBorder="1" applyAlignment="1">
      <alignment horizontal="left" vertical="center" wrapText="1"/>
    </xf>
    <xf numFmtId="0" fontId="7" fillId="0" borderId="12" xfId="0" applyFont="1" applyBorder="1" applyAlignment="1">
      <alignment horizontal="left" vertical="center"/>
    </xf>
    <xf numFmtId="0" fontId="7" fillId="0" borderId="5" xfId="0" applyFont="1" applyBorder="1" applyAlignment="1">
      <alignment horizontal="left" vertical="center"/>
    </xf>
    <xf numFmtId="0" fontId="7" fillId="0" borderId="4" xfId="0" applyFont="1" applyBorder="1" applyAlignment="1">
      <alignment horizontal="left" vertical="center"/>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4" xfId="0" applyFont="1" applyBorder="1" applyAlignment="1">
      <alignment horizontal="left"/>
    </xf>
    <xf numFmtId="0" fontId="7" fillId="0" borderId="5" xfId="0" applyFont="1" applyBorder="1" applyAlignment="1">
      <alignment horizontal="left"/>
    </xf>
    <xf numFmtId="167" fontId="7" fillId="0" borderId="4" xfId="0" applyNumberFormat="1" applyFont="1" applyBorder="1" applyAlignment="1">
      <alignment horizontal="center"/>
    </xf>
    <xf numFmtId="0" fontId="14" fillId="0" borderId="4" xfId="0" applyFont="1" applyBorder="1" applyAlignment="1">
      <alignment horizontal="center" vertical="top" wrapText="1"/>
    </xf>
    <xf numFmtId="0" fontId="14" fillId="0" borderId="5" xfId="0" applyFont="1" applyBorder="1" applyAlignment="1">
      <alignment horizontal="center" vertical="top"/>
    </xf>
    <xf numFmtId="0" fontId="14" fillId="0" borderId="4" xfId="0" applyFont="1" applyBorder="1" applyAlignment="1">
      <alignment horizontal="center" wrapText="1"/>
    </xf>
    <xf numFmtId="0" fontId="14" fillId="0" borderId="12" xfId="0" applyFont="1" applyBorder="1" applyAlignment="1">
      <alignment horizontal="center"/>
    </xf>
    <xf numFmtId="0" fontId="7" fillId="0" borderId="0" xfId="0" applyFont="1" applyAlignment="1">
      <alignment horizontal="left"/>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12" xfId="0" applyFont="1" applyBorder="1" applyAlignment="1">
      <alignment horizontal="center" vertical="center"/>
    </xf>
    <xf numFmtId="0" fontId="7" fillId="0" borderId="4" xfId="0" applyFont="1" applyBorder="1" applyAlignment="1">
      <alignment horizontal="center" vertical="top"/>
    </xf>
    <xf numFmtId="0" fontId="7" fillId="0" borderId="13" xfId="0" applyFont="1" applyBorder="1" applyAlignment="1">
      <alignment horizontal="center" vertical="top" wrapText="1"/>
    </xf>
    <xf numFmtId="0" fontId="7" fillId="0" borderId="14" xfId="0" applyFont="1" applyBorder="1" applyAlignment="1">
      <alignment horizontal="center" vertical="top"/>
    </xf>
    <xf numFmtId="0" fontId="7" fillId="0" borderId="15" xfId="0" applyFont="1" applyBorder="1" applyAlignment="1">
      <alignment horizontal="center" vertical="top"/>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15" fillId="0" borderId="2" xfId="0" applyFont="1" applyBorder="1" applyAlignment="1">
      <alignment horizontal="center" vertical="center"/>
    </xf>
    <xf numFmtId="0" fontId="15" fillId="0" borderId="6" xfId="0" applyFont="1" applyBorder="1" applyAlignment="1">
      <alignment horizontal="center" vertical="center"/>
    </xf>
    <xf numFmtId="0" fontId="15" fillId="0" borderId="3"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7" fillId="0" borderId="2" xfId="0" applyFont="1" applyBorder="1" applyAlignment="1">
      <alignment horizontal="center" vertical="top" wrapText="1"/>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14" fontId="7" fillId="0" borderId="0" xfId="0" applyNumberFormat="1" applyFont="1" applyAlignment="1">
      <alignment horizontal="left"/>
    </xf>
    <xf numFmtId="3" fontId="0" fillId="0" borderId="0" xfId="0" applyNumberFormat="1"/>
    <xf numFmtId="167" fontId="172" fillId="0" borderId="0" xfId="0" applyNumberFormat="1" applyFont="1"/>
    <xf numFmtId="0" fontId="173" fillId="0" borderId="0" xfId="0" quotePrefix="1" applyFont="1"/>
  </cellXfs>
  <cellStyles count="3">
    <cellStyle name="Comma" xfId="1" builtinId="3"/>
    <cellStyle name="Normal" xfId="0" builtinId="0"/>
    <cellStyle name="Normal 2" xfId="2"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104775</xdr:colOff>
      <xdr:row>10</xdr:row>
      <xdr:rowOff>133350</xdr:rowOff>
    </xdr:from>
    <xdr:to>
      <xdr:col>9</xdr:col>
      <xdr:colOff>828675</xdr:colOff>
      <xdr:row>39</xdr:row>
      <xdr:rowOff>19050</xdr:rowOff>
    </xdr:to>
    <xdr:sp macro="" textlink="">
      <xdr:nvSpPr>
        <xdr:cNvPr id="39743" name="Rectangle 2">
          <a:extLst>
            <a:ext uri="{FF2B5EF4-FFF2-40B4-BE49-F238E27FC236}">
              <a16:creationId xmlns:a16="http://schemas.microsoft.com/office/drawing/2014/main" id="{00000000-0008-0000-0100-00003F9B0000}"/>
            </a:ext>
          </a:extLst>
        </xdr:cNvPr>
        <xdr:cNvSpPr>
          <a:spLocks noChangeArrowheads="1"/>
        </xdr:cNvSpPr>
      </xdr:nvSpPr>
      <xdr:spPr>
        <a:xfrm>
          <a:off x="209550" y="2114550"/>
          <a:ext cx="6134100" cy="4581525"/>
        </a:xfrm>
        <a:prstGeom prst="rect">
          <a:avLst/>
        </a:prstGeom>
        <a:noFill/>
        <a:ln w="38100" cmpd="dbl">
          <a:solidFill>
            <a:srgbClr val="000000"/>
          </a:solidFill>
          <a:miter lim="800000"/>
        </a:ln>
      </xdr:spPr>
    </xdr:sp>
    <xdr:clientData/>
  </xdr:twoCellAnchor>
  <xdr:twoCellAnchor editAs="oneCell">
    <xdr:from>
      <xdr:col>5</xdr:col>
      <xdr:colOff>514350</xdr:colOff>
      <xdr:row>24</xdr:row>
      <xdr:rowOff>85725</xdr:rowOff>
    </xdr:from>
    <xdr:to>
      <xdr:col>9</xdr:col>
      <xdr:colOff>619125</xdr:colOff>
      <xdr:row>25</xdr:row>
      <xdr:rowOff>76200</xdr:rowOff>
    </xdr:to>
    <xdr:pic>
      <xdr:nvPicPr>
        <xdr:cNvPr id="39749" name="Picture 15" descr="WW.jpg">
          <a:extLst>
            <a:ext uri="{FF2B5EF4-FFF2-40B4-BE49-F238E27FC236}">
              <a16:creationId xmlns:a16="http://schemas.microsoft.com/office/drawing/2014/main" id="{00000000-0008-0000-0100-0000459B0000}"/>
            </a:ext>
          </a:extLst>
        </xdr:cNvPr>
        <xdr:cNvPicPr>
          <a:picLocks noChangeAspect="1"/>
        </xdr:cNvPicPr>
      </xdr:nvPicPr>
      <xdr:blipFill>
        <a:blip xmlns:r="http://schemas.openxmlformats.org/officeDocument/2006/relationships" r:embed="rId1" cstate="print"/>
        <a:srcRect/>
        <a:stretch>
          <a:fillRect/>
        </a:stretch>
      </xdr:blipFill>
      <xdr:spPr>
        <a:xfrm>
          <a:off x="3429000" y="4333875"/>
          <a:ext cx="2705100" cy="152400"/>
        </a:xfrm>
        <a:prstGeom prst="rect">
          <a:avLst/>
        </a:prstGeom>
        <a:noFill/>
        <a:ln w="9525">
          <a:noFill/>
          <a:miter lim="800000"/>
          <a:headEnd/>
          <a:tailEnd/>
        </a:ln>
      </xdr:spPr>
    </xdr:pic>
    <xdr:clientData/>
  </xdr:twoCellAnchor>
  <xdr:twoCellAnchor editAs="oneCell">
    <xdr:from>
      <xdr:col>2</xdr:col>
      <xdr:colOff>228600</xdr:colOff>
      <xdr:row>11</xdr:row>
      <xdr:rowOff>153641</xdr:rowOff>
    </xdr:from>
    <xdr:to>
      <xdr:col>9</xdr:col>
      <xdr:colOff>400050</xdr:colOff>
      <xdr:row>37</xdr:row>
      <xdr:rowOff>118522</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0075" y="2296160"/>
          <a:ext cx="5314950" cy="4175125"/>
        </a:xfrm>
        <a:prstGeom prst="rect">
          <a:avLst/>
        </a:prstGeom>
      </xdr:spPr>
    </xdr:pic>
    <xdr:clientData/>
  </xdr:twoCellAnchor>
  <xdr:twoCellAnchor editAs="oneCell">
    <xdr:from>
      <xdr:col>2</xdr:col>
      <xdr:colOff>76200</xdr:colOff>
      <xdr:row>224</xdr:row>
      <xdr:rowOff>48233</xdr:rowOff>
    </xdr:from>
    <xdr:to>
      <xdr:col>9</xdr:col>
      <xdr:colOff>714375</xdr:colOff>
      <xdr:row>242</xdr:row>
      <xdr:rowOff>38099</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7675" y="38366700"/>
          <a:ext cx="5781675" cy="34283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205"/>
  <sheetViews>
    <sheetView tabSelected="1" topLeftCell="A162" zoomScale="52" workbookViewId="0">
      <selection activeCell="G189" sqref="G189"/>
    </sheetView>
  </sheetViews>
  <sheetFormatPr defaultColWidth="9" defaultRowHeight="12.5"/>
  <cols>
    <col min="1" max="1" width="2.54296875" customWidth="1"/>
    <col min="2" max="2" width="49.81640625" customWidth="1"/>
    <col min="3" max="3" width="45.81640625" customWidth="1"/>
    <col min="4" max="4" width="11.7265625" customWidth="1"/>
    <col min="5" max="5" width="11.453125" customWidth="1"/>
    <col min="6" max="6" width="10.453125" customWidth="1"/>
    <col min="7" max="7" width="15.54296875" customWidth="1"/>
    <col min="8" max="8" width="10.26953125" customWidth="1"/>
    <col min="9" max="9" width="15.1796875" customWidth="1"/>
    <col min="10" max="10" width="12.7265625" customWidth="1"/>
  </cols>
  <sheetData>
    <row r="2" spans="2:11" ht="18">
      <c r="B2" s="925" t="s">
        <v>0</v>
      </c>
      <c r="C2" s="926" t="s">
        <v>1</v>
      </c>
      <c r="D2" s="927"/>
      <c r="F2" s="906"/>
      <c r="I2" s="449"/>
      <c r="J2" s="449"/>
      <c r="K2" s="449"/>
    </row>
    <row r="3" spans="2:11" ht="15.5">
      <c r="B3" s="928" t="s">
        <v>2</v>
      </c>
      <c r="C3" s="929" t="s">
        <v>3</v>
      </c>
      <c r="D3" s="421"/>
      <c r="I3" s="470"/>
      <c r="J3" s="470"/>
      <c r="K3" s="470"/>
    </row>
    <row r="4" spans="2:11" ht="15.5">
      <c r="B4" s="930" t="s">
        <v>4</v>
      </c>
      <c r="C4" s="931" t="s">
        <v>5</v>
      </c>
      <c r="D4" s="421"/>
      <c r="F4" s="333"/>
      <c r="G4" s="21"/>
      <c r="H4" s="21"/>
      <c r="I4" s="21"/>
      <c r="J4" s="19"/>
    </row>
    <row r="5" spans="2:11" ht="15.5">
      <c r="B5" s="930" t="s">
        <v>6</v>
      </c>
      <c r="C5" s="932"/>
      <c r="D5" s="933"/>
      <c r="F5" s="333"/>
      <c r="G5" s="21"/>
      <c r="H5" s="21"/>
      <c r="I5" s="21"/>
      <c r="J5" s="19"/>
    </row>
    <row r="6" spans="2:11" ht="15.5">
      <c r="B6" s="930" t="s">
        <v>7</v>
      </c>
      <c r="C6" s="5">
        <v>5500</v>
      </c>
      <c r="D6" s="151"/>
      <c r="F6" s="934"/>
      <c r="G6" s="21"/>
      <c r="H6" s="21"/>
      <c r="I6" s="21"/>
      <c r="J6" s="19"/>
    </row>
    <row r="7" spans="2:11" ht="15.5">
      <c r="B7" s="930" t="s">
        <v>8</v>
      </c>
      <c r="C7" s="931" t="s">
        <v>9</v>
      </c>
      <c r="D7" s="935"/>
      <c r="F7" s="333"/>
      <c r="G7" s="21"/>
      <c r="H7" s="21"/>
      <c r="I7" s="21"/>
      <c r="J7" s="19"/>
    </row>
    <row r="8" spans="2:11" ht="15.5">
      <c r="B8" s="930" t="s">
        <v>10</v>
      </c>
      <c r="C8" s="931" t="s">
        <v>9</v>
      </c>
      <c r="D8" s="421"/>
      <c r="F8" s="934"/>
      <c r="G8" s="19"/>
      <c r="H8" s="19"/>
      <c r="I8" s="19"/>
      <c r="J8" s="19"/>
    </row>
    <row r="9" spans="2:11" ht="15.5">
      <c r="B9" s="930" t="s">
        <v>11</v>
      </c>
      <c r="C9" s="931" t="s">
        <v>9</v>
      </c>
      <c r="D9" s="421"/>
      <c r="F9" s="934"/>
      <c r="G9" s="19"/>
      <c r="H9" s="19"/>
      <c r="I9" s="19"/>
      <c r="J9" s="19"/>
    </row>
    <row r="10" spans="2:11" ht="15.5">
      <c r="B10" s="930" t="s">
        <v>12</v>
      </c>
      <c r="C10" s="931" t="s">
        <v>13</v>
      </c>
      <c r="D10" s="421"/>
      <c r="F10" s="934"/>
      <c r="G10" s="19"/>
      <c r="H10" s="19"/>
      <c r="I10" s="19"/>
      <c r="J10" s="19"/>
    </row>
    <row r="11" spans="2:11" ht="21" customHeight="1">
      <c r="B11" s="930" t="s">
        <v>14</v>
      </c>
      <c r="C11" s="931" t="s">
        <v>9</v>
      </c>
      <c r="D11" s="421"/>
      <c r="F11" s="934"/>
      <c r="G11" s="19"/>
      <c r="H11" s="19"/>
      <c r="I11" s="19"/>
      <c r="J11" s="21"/>
    </row>
    <row r="12" spans="2:11" ht="15.5">
      <c r="B12" s="930" t="s">
        <v>15</v>
      </c>
      <c r="C12" s="931" t="s">
        <v>16</v>
      </c>
      <c r="D12" s="421"/>
      <c r="F12" s="936"/>
      <c r="G12" s="19"/>
      <c r="H12" s="19"/>
      <c r="I12" s="19"/>
      <c r="J12" s="19"/>
    </row>
    <row r="13" spans="2:11" ht="15.5">
      <c r="B13" s="937" t="s">
        <v>17</v>
      </c>
      <c r="C13" s="938">
        <v>671314</v>
      </c>
      <c r="D13" s="933"/>
      <c r="F13" s="934"/>
      <c r="G13" s="19"/>
      <c r="H13" s="19"/>
      <c r="I13" s="19"/>
      <c r="J13" s="19"/>
    </row>
    <row r="14" spans="2:11" ht="15.5">
      <c r="B14" s="939" t="s">
        <v>18</v>
      </c>
      <c r="C14" s="940"/>
      <c r="D14" s="935"/>
      <c r="F14" s="934"/>
      <c r="G14" s="19"/>
      <c r="H14" s="19"/>
      <c r="I14" s="19"/>
      <c r="J14" s="19"/>
    </row>
    <row r="15" spans="2:11" ht="15.5">
      <c r="B15" s="930" t="s">
        <v>19</v>
      </c>
      <c r="C15" s="932" t="s">
        <v>20</v>
      </c>
      <c r="D15" s="935"/>
      <c r="F15" s="934"/>
      <c r="G15" s="19"/>
      <c r="H15" s="19"/>
      <c r="I15" s="19"/>
      <c r="J15" s="19"/>
    </row>
    <row r="16" spans="2:11" ht="15.5">
      <c r="B16" s="941" t="s">
        <v>21</v>
      </c>
      <c r="C16" s="942" t="s">
        <v>22</v>
      </c>
      <c r="D16" s="418"/>
      <c r="F16" s="551"/>
      <c r="G16" s="19"/>
      <c r="H16" s="19"/>
      <c r="I16" s="19"/>
      <c r="J16" s="19"/>
    </row>
    <row r="17" spans="2:10" ht="15.5">
      <c r="B17" s="943" t="s">
        <v>23</v>
      </c>
      <c r="C17" s="944" t="s">
        <v>24</v>
      </c>
      <c r="F17" s="551"/>
      <c r="G17" s="19"/>
      <c r="H17" s="19"/>
      <c r="I17" s="19"/>
      <c r="J17" s="19"/>
    </row>
    <row r="18" spans="2:10" ht="24" customHeight="1">
      <c r="B18" s="945" t="s">
        <v>25</v>
      </c>
      <c r="C18" s="946" t="s">
        <v>26</v>
      </c>
      <c r="D18" s="421"/>
      <c r="F18" s="934"/>
      <c r="G18" s="19"/>
      <c r="H18" s="19"/>
      <c r="I18" s="19"/>
      <c r="J18" s="19"/>
    </row>
    <row r="19" spans="2:10" ht="16.5" customHeight="1">
      <c r="B19" s="930" t="s">
        <v>27</v>
      </c>
      <c r="C19" s="947" t="s">
        <v>28</v>
      </c>
      <c r="D19" s="421"/>
      <c r="F19" s="934"/>
      <c r="G19" s="19"/>
      <c r="H19" s="19"/>
      <c r="I19" s="19"/>
      <c r="J19" s="19"/>
    </row>
    <row r="20" spans="2:10" ht="15.5">
      <c r="B20" s="930" t="s">
        <v>8</v>
      </c>
      <c r="C20" s="931" t="s">
        <v>29</v>
      </c>
      <c r="D20" s="421"/>
      <c r="F20" s="421"/>
      <c r="G20" s="19"/>
      <c r="H20" s="19"/>
      <c r="I20" s="19"/>
      <c r="J20" s="19"/>
    </row>
    <row r="21" spans="2:10" ht="15.5">
      <c r="B21" s="930" t="s">
        <v>10</v>
      </c>
      <c r="C21" s="931" t="s">
        <v>9</v>
      </c>
      <c r="D21" s="425"/>
      <c r="F21" s="934"/>
      <c r="G21" s="19"/>
      <c r="H21" s="19"/>
      <c r="I21" s="19"/>
      <c r="J21" s="21"/>
    </row>
    <row r="22" spans="2:10" ht="15.5">
      <c r="B22" s="930" t="s">
        <v>11</v>
      </c>
      <c r="C22" s="948" t="s">
        <v>30</v>
      </c>
      <c r="D22" s="421"/>
      <c r="F22" s="19"/>
      <c r="G22" s="19"/>
      <c r="H22" s="141"/>
      <c r="I22" s="19"/>
      <c r="J22" s="21"/>
    </row>
    <row r="23" spans="2:10" ht="15.5">
      <c r="B23" s="930" t="s">
        <v>12</v>
      </c>
      <c r="C23" s="931" t="s">
        <v>13</v>
      </c>
      <c r="D23" s="425"/>
      <c r="F23" s="19"/>
      <c r="G23" s="19"/>
      <c r="H23" s="141"/>
      <c r="I23" s="19"/>
      <c r="J23" s="19"/>
    </row>
    <row r="24" spans="2:10" ht="15.5">
      <c r="B24" s="930" t="s">
        <v>14</v>
      </c>
      <c r="C24" s="931" t="s">
        <v>9</v>
      </c>
      <c r="D24" s="425"/>
      <c r="F24" s="19"/>
      <c r="G24" s="19"/>
      <c r="H24" s="21"/>
      <c r="I24" s="976"/>
      <c r="J24" s="21"/>
    </row>
    <row r="25" spans="2:10" ht="15.5">
      <c r="B25" s="937" t="s">
        <v>15</v>
      </c>
      <c r="C25" s="931" t="s">
        <v>16</v>
      </c>
      <c r="D25" s="421"/>
    </row>
    <row r="26" spans="2:10" ht="15.5">
      <c r="B26" s="949" t="s">
        <v>31</v>
      </c>
      <c r="C26" s="950">
        <v>9847599008</v>
      </c>
      <c r="D26" s="935"/>
    </row>
    <row r="27" spans="2:10" ht="15.5">
      <c r="B27" s="951" t="s">
        <v>17</v>
      </c>
      <c r="C27" s="952">
        <v>671314</v>
      </c>
      <c r="D27" s="935"/>
    </row>
    <row r="28" spans="2:10" ht="15.5">
      <c r="B28" s="953" t="s">
        <v>32</v>
      </c>
      <c r="C28" s="954" t="s">
        <v>33</v>
      </c>
      <c r="D28" s="955"/>
    </row>
    <row r="29" spans="2:10" ht="15.5">
      <c r="B29" s="956" t="s">
        <v>34</v>
      </c>
      <c r="C29" s="948" t="s">
        <v>35</v>
      </c>
      <c r="D29" s="421"/>
    </row>
    <row r="30" spans="2:10" ht="15.5">
      <c r="B30" s="957" t="s">
        <v>36</v>
      </c>
      <c r="C30" s="958" t="s">
        <v>37</v>
      </c>
      <c r="D30" s="421"/>
    </row>
    <row r="31" spans="2:10" ht="15.5">
      <c r="B31" s="959" t="s">
        <v>38</v>
      </c>
      <c r="C31" s="960" t="s">
        <v>39</v>
      </c>
      <c r="D31" s="425"/>
    </row>
    <row r="32" spans="2:10" ht="15.5">
      <c r="B32" s="959" t="s">
        <v>40</v>
      </c>
      <c r="C32" s="958" t="s">
        <v>41</v>
      </c>
      <c r="D32" s="425"/>
    </row>
    <row r="33" spans="2:7" ht="15.5">
      <c r="B33" s="959" t="s">
        <v>42</v>
      </c>
      <c r="C33" s="948" t="s">
        <v>43</v>
      </c>
      <c r="D33" s="421"/>
    </row>
    <row r="34" spans="2:7" ht="15.5">
      <c r="B34" s="961" t="s">
        <v>44</v>
      </c>
      <c r="C34" s="962">
        <v>12</v>
      </c>
      <c r="D34" s="935"/>
    </row>
    <row r="35" spans="2:7" ht="21.75" customHeight="1">
      <c r="B35" s="961" t="s">
        <v>45</v>
      </c>
      <c r="C35" s="960" t="s">
        <v>46</v>
      </c>
      <c r="D35" s="421"/>
    </row>
    <row r="36" spans="2:7" ht="15.5">
      <c r="B36" s="953" t="s">
        <v>47</v>
      </c>
      <c r="C36" s="958" t="s">
        <v>48</v>
      </c>
      <c r="D36" s="425"/>
    </row>
    <row r="37" spans="2:7" ht="15.5">
      <c r="B37" s="953" t="s">
        <v>49</v>
      </c>
      <c r="C37" s="963">
        <v>5</v>
      </c>
      <c r="D37" s="964"/>
    </row>
    <row r="38" spans="2:7" ht="15.5">
      <c r="B38" s="959" t="s">
        <v>50</v>
      </c>
      <c r="C38" s="965" t="s">
        <v>51</v>
      </c>
      <c r="D38" s="966"/>
    </row>
    <row r="39" spans="2:7" ht="15.5">
      <c r="B39" s="967" t="s">
        <v>52</v>
      </c>
      <c r="C39" s="968" t="s">
        <v>9</v>
      </c>
      <c r="D39" s="397"/>
    </row>
    <row r="40" spans="2:7" ht="15.5">
      <c r="B40" s="969"/>
      <c r="C40" s="397"/>
      <c r="D40" s="397"/>
    </row>
    <row r="41" spans="2:7" ht="15.5">
      <c r="B41" s="970" t="s">
        <v>53</v>
      </c>
      <c r="C41" s="421"/>
      <c r="D41" s="421"/>
    </row>
    <row r="42" spans="2:7" ht="15.5">
      <c r="B42" s="971" t="s">
        <v>54</v>
      </c>
      <c r="C42" s="972"/>
      <c r="D42" s="935"/>
    </row>
    <row r="43" spans="2:7" ht="15.5">
      <c r="B43" s="967" t="s">
        <v>55</v>
      </c>
      <c r="C43" s="973"/>
      <c r="D43" s="5"/>
    </row>
    <row r="44" spans="2:7" ht="15.5">
      <c r="C44" s="421"/>
      <c r="D44" s="421"/>
      <c r="G44">
        <f>150000*118%</f>
        <v>177000</v>
      </c>
    </row>
    <row r="45" spans="2:7" ht="15.5">
      <c r="B45" s="969"/>
      <c r="C45" s="421"/>
      <c r="D45" s="421"/>
    </row>
    <row r="46" spans="2:7" ht="15.5">
      <c r="B46" s="969"/>
    </row>
    <row r="50" spans="2:7" ht="15.5">
      <c r="B50" s="974" t="s">
        <v>56</v>
      </c>
    </row>
    <row r="51" spans="2:7" ht="15.5">
      <c r="B51" s="21"/>
      <c r="C51" s="975" t="s">
        <v>57</v>
      </c>
      <c r="D51" s="975"/>
      <c r="E51" s="974" t="s">
        <v>58</v>
      </c>
      <c r="F51" s="974" t="s">
        <v>59</v>
      </c>
      <c r="G51" s="974" t="s">
        <v>60</v>
      </c>
    </row>
    <row r="52" spans="2:7" ht="15.5">
      <c r="B52" s="21"/>
      <c r="E52" s="19"/>
      <c r="F52" s="19"/>
      <c r="G52" s="19"/>
    </row>
    <row r="53" spans="2:7" ht="15.5">
      <c r="B53" s="21"/>
      <c r="C53" t="s">
        <v>61</v>
      </c>
      <c r="E53" s="19">
        <v>100000</v>
      </c>
      <c r="F53" s="19">
        <v>1</v>
      </c>
      <c r="G53" s="19">
        <f t="shared" ref="G53" si="0">F53*E53</f>
        <v>100000</v>
      </c>
    </row>
    <row r="54" spans="2:7" ht="15.5">
      <c r="B54" s="21">
        <v>2</v>
      </c>
      <c r="C54" t="s">
        <v>62</v>
      </c>
      <c r="E54" s="19">
        <v>521560</v>
      </c>
      <c r="F54" s="19">
        <v>1</v>
      </c>
      <c r="G54" s="19">
        <f t="shared" ref="G54:G61" si="1">F54*E54</f>
        <v>521560</v>
      </c>
    </row>
    <row r="55" spans="2:7" ht="15.5">
      <c r="B55" s="21">
        <v>3</v>
      </c>
      <c r="C55" t="s">
        <v>63</v>
      </c>
      <c r="E55" s="19">
        <v>177000</v>
      </c>
      <c r="F55" s="19">
        <v>1</v>
      </c>
      <c r="G55" s="19">
        <f t="shared" si="1"/>
        <v>177000</v>
      </c>
    </row>
    <row r="56" spans="2:7" ht="15.5">
      <c r="B56" s="21"/>
      <c r="C56" t="s">
        <v>64</v>
      </c>
      <c r="E56" s="19">
        <v>36600</v>
      </c>
      <c r="F56" s="19">
        <v>3</v>
      </c>
      <c r="G56" s="19">
        <f t="shared" si="1"/>
        <v>109800</v>
      </c>
    </row>
    <row r="57" spans="2:7" ht="15.5">
      <c r="B57" s="21"/>
      <c r="C57" t="s">
        <v>65</v>
      </c>
      <c r="E57" s="19">
        <v>75000</v>
      </c>
      <c r="F57" s="19">
        <v>1</v>
      </c>
      <c r="G57" s="19">
        <f t="shared" si="1"/>
        <v>75000</v>
      </c>
    </row>
    <row r="58" spans="2:7" ht="15.5">
      <c r="B58" s="21"/>
      <c r="C58" t="s">
        <v>66</v>
      </c>
      <c r="E58" s="19">
        <v>35000</v>
      </c>
      <c r="F58" s="19">
        <v>1</v>
      </c>
      <c r="G58" s="19">
        <f t="shared" si="1"/>
        <v>35000</v>
      </c>
    </row>
    <row r="59" spans="2:7" ht="15.5">
      <c r="B59" s="21"/>
      <c r="C59" t="s">
        <v>67</v>
      </c>
      <c r="E59" s="19">
        <v>35000</v>
      </c>
      <c r="F59" s="19">
        <v>1</v>
      </c>
      <c r="G59" s="19">
        <f t="shared" si="1"/>
        <v>35000</v>
      </c>
    </row>
    <row r="60" spans="2:7" ht="15.5">
      <c r="B60" s="21"/>
      <c r="C60" t="s">
        <v>68</v>
      </c>
      <c r="E60" s="19">
        <v>40000</v>
      </c>
      <c r="F60" s="19">
        <v>1</v>
      </c>
      <c r="G60" s="19">
        <f t="shared" si="1"/>
        <v>40000</v>
      </c>
    </row>
    <row r="61" spans="2:7" ht="15.5">
      <c r="B61" s="21"/>
      <c r="C61" t="s">
        <v>69</v>
      </c>
      <c r="E61" s="19">
        <v>75000</v>
      </c>
      <c r="F61" s="19">
        <v>1</v>
      </c>
      <c r="G61" s="19">
        <f t="shared" si="1"/>
        <v>75000</v>
      </c>
    </row>
    <row r="62" spans="2:7" ht="15.5">
      <c r="B62" s="21"/>
      <c r="E62" s="19"/>
      <c r="F62" s="19"/>
      <c r="G62" s="19"/>
    </row>
    <row r="63" spans="2:7" ht="15.5">
      <c r="B63" s="21"/>
      <c r="E63" s="19"/>
      <c r="F63" s="19"/>
      <c r="G63" s="19"/>
    </row>
    <row r="64" spans="2:7" ht="15.5">
      <c r="B64" s="21"/>
      <c r="E64" s="19"/>
      <c r="F64" s="19"/>
      <c r="G64" s="19"/>
    </row>
    <row r="65" spans="2:9" ht="15.5">
      <c r="B65" s="21"/>
      <c r="E65" s="19"/>
      <c r="F65" s="19"/>
      <c r="G65" s="19"/>
      <c r="I65">
        <v>119396</v>
      </c>
    </row>
    <row r="66" spans="2:9" ht="15.5">
      <c r="B66" s="21"/>
      <c r="E66" s="19"/>
      <c r="F66" s="19"/>
      <c r="G66" s="19"/>
    </row>
    <row r="67" spans="2:9" ht="15.5">
      <c r="B67" s="21"/>
      <c r="E67" s="19"/>
      <c r="F67" s="19"/>
      <c r="G67" s="19"/>
    </row>
    <row r="68" spans="2:9" ht="15.5">
      <c r="B68" s="21"/>
      <c r="E68" s="19"/>
      <c r="F68" s="19"/>
      <c r="G68" s="19"/>
    </row>
    <row r="69" spans="2:9" ht="15.5">
      <c r="B69" s="21"/>
      <c r="E69" s="19"/>
      <c r="F69" s="19"/>
      <c r="G69" s="19"/>
    </row>
    <row r="70" spans="2:9" ht="15.5">
      <c r="B70" s="21"/>
      <c r="E70" s="19"/>
      <c r="F70" s="19"/>
      <c r="G70" s="19"/>
    </row>
    <row r="71" spans="2:9" ht="15.5">
      <c r="B71" s="21"/>
      <c r="E71" s="19"/>
      <c r="F71" s="19"/>
      <c r="G71" s="19"/>
    </row>
    <row r="72" spans="2:9" ht="15.5">
      <c r="B72" s="21"/>
      <c r="E72" s="19"/>
      <c r="F72" s="19"/>
      <c r="G72" s="19"/>
    </row>
    <row r="73" spans="2:9" ht="15.5">
      <c r="B73" s="21"/>
      <c r="E73" s="19"/>
      <c r="F73" s="19"/>
      <c r="G73" s="19"/>
    </row>
    <row r="74" spans="2:9" ht="15.5">
      <c r="B74" s="21"/>
      <c r="E74" s="19"/>
      <c r="F74" s="19"/>
      <c r="G74" s="19"/>
    </row>
    <row r="75" spans="2:9" ht="15.5">
      <c r="B75" s="21"/>
      <c r="E75" s="19"/>
      <c r="F75" s="19"/>
      <c r="G75" s="19"/>
    </row>
    <row r="76" spans="2:9" ht="15.5">
      <c r="B76" s="21"/>
      <c r="E76" s="19"/>
      <c r="F76" s="19"/>
      <c r="G76" s="19"/>
    </row>
    <row r="77" spans="2:9" ht="15.5">
      <c r="B77" s="19"/>
      <c r="C77" s="240"/>
      <c r="D77" s="240"/>
      <c r="E77" s="120"/>
      <c r="F77" s="5"/>
      <c r="G77" s="57"/>
    </row>
    <row r="78" spans="2:9" ht="15.5">
      <c r="B78" s="19"/>
      <c r="C78" s="240"/>
      <c r="D78" s="240"/>
      <c r="E78" s="19"/>
      <c r="F78" s="977"/>
      <c r="G78" s="621">
        <f>SUM(G52:G71)</f>
        <v>1168360</v>
      </c>
      <c r="H78" s="100"/>
    </row>
    <row r="79" spans="2:9" ht="15.5">
      <c r="C79" s="240"/>
      <c r="D79" s="240"/>
      <c r="E79" s="19"/>
      <c r="H79" s="19"/>
    </row>
    <row r="80" spans="2:9" ht="15.5">
      <c r="B80" s="974" t="s">
        <v>70</v>
      </c>
      <c r="E80" s="19"/>
      <c r="F80" s="19"/>
      <c r="G80" s="19"/>
      <c r="H80" s="19"/>
    </row>
    <row r="81" spans="3:9" ht="15.5">
      <c r="E81" s="19"/>
      <c r="F81" s="19"/>
      <c r="G81" s="19"/>
      <c r="H81" s="19"/>
    </row>
    <row r="83" spans="3:9" ht="15.5">
      <c r="C83" s="975" t="s">
        <v>57</v>
      </c>
      <c r="E83" s="978" t="s">
        <v>71</v>
      </c>
      <c r="F83" s="978" t="s">
        <v>72</v>
      </c>
      <c r="G83" s="978" t="s">
        <v>73</v>
      </c>
    </row>
    <row r="84" spans="3:9" ht="15.5">
      <c r="C84" s="418"/>
      <c r="E84" s="4"/>
      <c r="F84" s="4"/>
      <c r="G84" s="4"/>
    </row>
    <row r="85" spans="3:9" ht="15.5">
      <c r="C85" s="421"/>
      <c r="E85" s="4"/>
      <c r="F85" s="4"/>
      <c r="G85" s="4"/>
    </row>
    <row r="86" spans="3:9" ht="15.5">
      <c r="C86" s="421" t="s">
        <v>74</v>
      </c>
      <c r="E86" s="4">
        <v>12000</v>
      </c>
      <c r="F86" s="4">
        <v>4</v>
      </c>
      <c r="G86" s="4">
        <f t="shared" ref="G86:G93" si="2">F86*E86</f>
        <v>48000</v>
      </c>
      <c r="H86">
        <f>G86*118/100</f>
        <v>56640</v>
      </c>
      <c r="I86">
        <v>18</v>
      </c>
    </row>
    <row r="87" spans="3:9" ht="15.5">
      <c r="C87" s="421" t="s">
        <v>75</v>
      </c>
      <c r="E87" s="4">
        <v>15</v>
      </c>
      <c r="F87" s="4">
        <v>1000</v>
      </c>
      <c r="G87" s="4">
        <f t="shared" si="2"/>
        <v>15000</v>
      </c>
      <c r="H87">
        <f t="shared" ref="H87:H108" si="3">G87*118/100</f>
        <v>17700</v>
      </c>
      <c r="I87">
        <v>18</v>
      </c>
    </row>
    <row r="88" spans="3:9" ht="15.5">
      <c r="C88" s="421" t="s">
        <v>76</v>
      </c>
      <c r="E88" s="4">
        <v>7</v>
      </c>
      <c r="F88" s="4">
        <v>1000</v>
      </c>
      <c r="G88" s="4">
        <f t="shared" si="2"/>
        <v>7000</v>
      </c>
      <c r="H88">
        <f t="shared" si="3"/>
        <v>8260</v>
      </c>
      <c r="I88">
        <v>18</v>
      </c>
    </row>
    <row r="89" spans="3:9" ht="15.5">
      <c r="C89" s="421" t="s">
        <v>77</v>
      </c>
      <c r="E89" s="4">
        <v>15</v>
      </c>
      <c r="F89" s="4">
        <v>500</v>
      </c>
      <c r="G89" s="4">
        <f t="shared" si="2"/>
        <v>7500</v>
      </c>
      <c r="H89">
        <f t="shared" si="3"/>
        <v>8850</v>
      </c>
      <c r="I89">
        <v>18</v>
      </c>
    </row>
    <row r="90" spans="3:9" ht="15.5">
      <c r="C90" s="421" t="s">
        <v>78</v>
      </c>
      <c r="E90" s="4">
        <v>2</v>
      </c>
      <c r="F90" s="4">
        <v>3000</v>
      </c>
      <c r="G90" s="4">
        <f t="shared" si="2"/>
        <v>6000</v>
      </c>
      <c r="H90">
        <f t="shared" si="3"/>
        <v>7080</v>
      </c>
      <c r="I90">
        <v>18</v>
      </c>
    </row>
    <row r="91" spans="3:9" ht="15.5">
      <c r="C91" s="421" t="s">
        <v>79</v>
      </c>
      <c r="E91" s="4">
        <v>3</v>
      </c>
      <c r="F91" s="4">
        <v>2500</v>
      </c>
      <c r="G91" s="4">
        <f t="shared" si="2"/>
        <v>7500</v>
      </c>
      <c r="H91">
        <f t="shared" si="3"/>
        <v>8850</v>
      </c>
      <c r="I91">
        <v>18</v>
      </c>
    </row>
    <row r="92" spans="3:9" ht="15.5">
      <c r="C92" s="421" t="s">
        <v>80</v>
      </c>
      <c r="E92" s="4">
        <v>4</v>
      </c>
      <c r="F92" s="4">
        <v>4000</v>
      </c>
      <c r="G92" s="4">
        <f t="shared" si="2"/>
        <v>16000</v>
      </c>
      <c r="H92">
        <f t="shared" si="3"/>
        <v>18880</v>
      </c>
      <c r="I92">
        <v>18</v>
      </c>
    </row>
    <row r="93" spans="3:9" ht="15.5">
      <c r="C93" s="421" t="s">
        <v>81</v>
      </c>
      <c r="E93" s="4">
        <v>5</v>
      </c>
      <c r="F93" s="4">
        <v>2000</v>
      </c>
      <c r="G93" s="4">
        <f t="shared" si="2"/>
        <v>10000</v>
      </c>
      <c r="H93">
        <f t="shared" si="3"/>
        <v>11800</v>
      </c>
      <c r="I93">
        <v>18</v>
      </c>
    </row>
    <row r="94" spans="3:9" ht="15.5">
      <c r="C94" s="421"/>
      <c r="E94" s="4"/>
      <c r="F94" s="4"/>
      <c r="G94" s="4"/>
      <c r="H94">
        <f t="shared" si="3"/>
        <v>0</v>
      </c>
      <c r="I94">
        <v>18</v>
      </c>
    </row>
    <row r="95" spans="3:9" ht="15.5">
      <c r="C95" s="421"/>
      <c r="E95" s="4"/>
      <c r="F95" s="4"/>
      <c r="G95" s="4"/>
      <c r="H95">
        <f t="shared" si="3"/>
        <v>0</v>
      </c>
      <c r="I95">
        <v>18</v>
      </c>
    </row>
    <row r="96" spans="3:9" ht="15.5">
      <c r="C96" s="421"/>
      <c r="E96" s="4"/>
      <c r="F96" s="4"/>
      <c r="G96" s="4"/>
      <c r="H96">
        <f t="shared" si="3"/>
        <v>0</v>
      </c>
      <c r="I96">
        <v>18</v>
      </c>
    </row>
    <row r="97" spans="3:9" ht="15.5">
      <c r="C97" s="421"/>
      <c r="E97" s="4"/>
      <c r="F97" s="4"/>
      <c r="G97" s="4"/>
      <c r="H97">
        <f t="shared" si="3"/>
        <v>0</v>
      </c>
      <c r="I97">
        <v>18</v>
      </c>
    </row>
    <row r="98" spans="3:9" ht="15.5">
      <c r="C98" s="418"/>
      <c r="E98" s="4"/>
      <c r="F98" s="4"/>
      <c r="G98" s="4"/>
      <c r="H98">
        <f t="shared" si="3"/>
        <v>0</v>
      </c>
      <c r="I98">
        <v>18</v>
      </c>
    </row>
    <row r="99" spans="3:9" ht="15.5">
      <c r="C99" s="421"/>
      <c r="E99" s="4"/>
      <c r="F99" s="4"/>
      <c r="G99" s="4"/>
      <c r="H99">
        <f t="shared" si="3"/>
        <v>0</v>
      </c>
      <c r="I99">
        <v>18</v>
      </c>
    </row>
    <row r="100" spans="3:9" ht="15.5">
      <c r="C100" s="421"/>
      <c r="E100" s="4"/>
      <c r="F100" s="4"/>
      <c r="G100" s="4"/>
      <c r="H100">
        <f t="shared" si="3"/>
        <v>0</v>
      </c>
      <c r="I100">
        <v>18</v>
      </c>
    </row>
    <row r="101" spans="3:9" ht="15.5">
      <c r="C101" s="421"/>
      <c r="E101" s="4"/>
      <c r="F101" s="4"/>
      <c r="G101" s="4"/>
      <c r="H101">
        <f t="shared" si="3"/>
        <v>0</v>
      </c>
      <c r="I101">
        <v>18</v>
      </c>
    </row>
    <row r="102" spans="3:9" ht="15.5">
      <c r="C102" s="418"/>
      <c r="E102" s="4"/>
      <c r="F102" s="4"/>
      <c r="G102" s="4"/>
      <c r="H102">
        <f t="shared" si="3"/>
        <v>0</v>
      </c>
      <c r="I102">
        <v>18</v>
      </c>
    </row>
    <row r="103" spans="3:9" ht="15.5">
      <c r="C103" s="418"/>
      <c r="E103" s="4"/>
      <c r="F103" s="4"/>
      <c r="G103" s="4"/>
      <c r="H103">
        <f t="shared" si="3"/>
        <v>0</v>
      </c>
      <c r="I103">
        <v>18</v>
      </c>
    </row>
    <row r="104" spans="3:9" ht="15.5">
      <c r="C104" s="418"/>
      <c r="E104" s="4"/>
      <c r="F104" s="4"/>
      <c r="G104" s="4"/>
      <c r="H104">
        <f t="shared" si="3"/>
        <v>0</v>
      </c>
      <c r="I104">
        <v>18</v>
      </c>
    </row>
    <row r="105" spans="3:9" ht="15.5">
      <c r="C105" s="418"/>
      <c r="E105" s="4"/>
      <c r="F105" s="4"/>
      <c r="G105" s="4"/>
      <c r="H105">
        <f t="shared" si="3"/>
        <v>0</v>
      </c>
      <c r="I105">
        <v>18</v>
      </c>
    </row>
    <row r="106" spans="3:9" ht="15.5">
      <c r="C106" s="418"/>
      <c r="E106" s="4"/>
      <c r="F106" s="4"/>
      <c r="G106" s="4"/>
      <c r="H106">
        <f t="shared" si="3"/>
        <v>0</v>
      </c>
      <c r="I106">
        <v>18</v>
      </c>
    </row>
    <row r="107" spans="3:9" ht="15.5">
      <c r="C107" s="418"/>
      <c r="E107" s="4"/>
      <c r="F107" s="4"/>
      <c r="G107" s="4"/>
      <c r="H107">
        <f t="shared" si="3"/>
        <v>0</v>
      </c>
      <c r="I107">
        <v>18</v>
      </c>
    </row>
    <row r="108" spans="3:9" ht="15.5">
      <c r="C108" s="418"/>
      <c r="E108" s="4"/>
      <c r="F108" s="4"/>
      <c r="G108" s="4"/>
      <c r="H108">
        <f t="shared" si="3"/>
        <v>0</v>
      </c>
      <c r="I108">
        <v>18</v>
      </c>
    </row>
    <row r="109" spans="3:9" ht="15.5">
      <c r="C109" s="418"/>
      <c r="E109" s="4"/>
      <c r="F109" s="4"/>
      <c r="G109" s="4"/>
      <c r="H109">
        <f>SUM(H86:H108)</f>
        <v>138060</v>
      </c>
    </row>
    <row r="110" spans="3:9" ht="15.5">
      <c r="C110" s="418"/>
      <c r="E110" s="4"/>
      <c r="F110" s="4"/>
      <c r="G110" s="4"/>
    </row>
    <row r="111" spans="3:9" ht="15.5">
      <c r="C111" s="418"/>
      <c r="E111" s="4"/>
      <c r="F111" s="4"/>
      <c r="G111" s="4"/>
      <c r="I111">
        <f>H109+I65</f>
        <v>257456</v>
      </c>
    </row>
    <row r="112" spans="3:9" ht="15.5">
      <c r="C112" s="418"/>
      <c r="E112" s="4"/>
      <c r="F112" s="4"/>
      <c r="G112" s="4"/>
    </row>
    <row r="113" spans="2:10" ht="15.5">
      <c r="C113" s="418"/>
      <c r="E113" s="4"/>
      <c r="F113" s="4"/>
      <c r="G113" s="4"/>
    </row>
    <row r="114" spans="2:10" ht="15.5">
      <c r="C114" s="418"/>
      <c r="E114" s="4"/>
      <c r="F114" s="4"/>
      <c r="G114" s="4"/>
    </row>
    <row r="115" spans="2:10" ht="15.5">
      <c r="C115" s="418"/>
      <c r="E115" s="4"/>
      <c r="F115" s="4"/>
      <c r="G115" s="4"/>
    </row>
    <row r="116" spans="2:10" ht="15.5">
      <c r="C116" s="418"/>
      <c r="E116" s="4"/>
      <c r="F116" s="4"/>
      <c r="G116" s="4"/>
    </row>
    <row r="117" spans="2:10" ht="15.5">
      <c r="C117" s="418"/>
      <c r="E117" s="4"/>
      <c r="F117" s="4"/>
      <c r="G117" s="4"/>
    </row>
    <row r="118" spans="2:10" ht="15.5">
      <c r="C118" s="418"/>
      <c r="E118" s="4"/>
      <c r="F118" s="4"/>
      <c r="G118" s="4"/>
    </row>
    <row r="119" spans="2:10" ht="15.5">
      <c r="C119" s="418"/>
      <c r="E119" s="4"/>
      <c r="F119" s="4"/>
      <c r="G119" s="4"/>
    </row>
    <row r="120" spans="2:10" ht="15.5">
      <c r="C120" s="418"/>
      <c r="E120" s="4"/>
      <c r="F120" s="4"/>
      <c r="G120" s="4"/>
    </row>
    <row r="121" spans="2:10" ht="15.5" hidden="1">
      <c r="C121" s="418"/>
      <c r="E121" s="4"/>
      <c r="F121" s="4"/>
      <c r="G121" s="4"/>
    </row>
    <row r="122" spans="2:10" ht="15.5" hidden="1">
      <c r="C122" s="418"/>
      <c r="E122" s="4"/>
      <c r="F122" s="4"/>
      <c r="G122" s="4"/>
    </row>
    <row r="123" spans="2:10" ht="15.5" hidden="1">
      <c r="C123" s="418"/>
      <c r="E123" s="4"/>
      <c r="F123" s="4"/>
      <c r="G123" s="4"/>
    </row>
    <row r="124" spans="2:10" ht="15.5" hidden="1">
      <c r="C124" s="418"/>
      <c r="E124" s="4"/>
      <c r="F124" s="4"/>
      <c r="G124" s="4"/>
    </row>
    <row r="125" spans="2:10" ht="15.5" hidden="1">
      <c r="B125" s="21"/>
      <c r="C125" s="979"/>
      <c r="E125" s="7"/>
      <c r="F125" s="1"/>
      <c r="G125" s="980"/>
      <c r="I125" s="1"/>
      <c r="J125" s="1"/>
    </row>
    <row r="126" spans="2:10" ht="15.5" hidden="1">
      <c r="B126" s="21"/>
      <c r="C126" s="979"/>
      <c r="E126" s="7"/>
      <c r="F126" s="1"/>
      <c r="G126" s="980"/>
      <c r="I126" s="1"/>
      <c r="J126" s="1"/>
    </row>
    <row r="127" spans="2:10" ht="15.5" hidden="1">
      <c r="B127" s="21"/>
      <c r="C127" s="979"/>
      <c r="E127" s="7"/>
      <c r="F127" s="1"/>
      <c r="G127" s="980"/>
      <c r="I127" s="1"/>
      <c r="J127" s="1"/>
    </row>
    <row r="128" spans="2:10" ht="15.5" hidden="1">
      <c r="B128" s="21"/>
      <c r="C128" s="979"/>
      <c r="E128" s="7"/>
      <c r="F128" s="1"/>
      <c r="G128" s="980"/>
      <c r="I128" s="1"/>
      <c r="J128" s="1"/>
    </row>
    <row r="129" spans="2:10" ht="15.5" hidden="1">
      <c r="B129" s="21"/>
      <c r="C129" s="979"/>
      <c r="E129" s="7"/>
      <c r="F129" s="1"/>
      <c r="G129" s="980"/>
      <c r="I129" s="1"/>
      <c r="J129" s="1"/>
    </row>
    <row r="130" spans="2:10" ht="15.5" hidden="1">
      <c r="B130" s="21"/>
      <c r="C130" s="979"/>
      <c r="E130" s="7"/>
      <c r="F130" s="1"/>
      <c r="G130" s="980"/>
      <c r="I130" s="1"/>
      <c r="J130" s="1"/>
    </row>
    <row r="131" spans="2:10" ht="15.5" hidden="1">
      <c r="B131" s="21"/>
      <c r="C131" s="979"/>
      <c r="E131" s="7"/>
      <c r="F131" s="1"/>
      <c r="G131" s="980"/>
      <c r="I131" s="1"/>
      <c r="J131" s="1"/>
    </row>
    <row r="132" spans="2:10" ht="15.5" hidden="1">
      <c r="B132" s="21"/>
      <c r="C132" s="979"/>
      <c r="E132" s="7"/>
      <c r="F132" s="1"/>
      <c r="G132" s="980"/>
      <c r="I132" s="1"/>
      <c r="J132" s="1"/>
    </row>
    <row r="133" spans="2:10" ht="15.5" hidden="1">
      <c r="B133" s="21"/>
      <c r="C133" s="979"/>
      <c r="E133" s="7"/>
      <c r="F133" s="1"/>
      <c r="G133" s="980"/>
      <c r="I133" s="1"/>
      <c r="J133" s="1"/>
    </row>
    <row r="134" spans="2:10" ht="15.5" hidden="1">
      <c r="B134" s="21"/>
      <c r="C134" s="979"/>
      <c r="E134" s="7"/>
      <c r="F134" s="1"/>
      <c r="G134" s="980"/>
      <c r="I134" s="1"/>
      <c r="J134" s="1"/>
    </row>
    <row r="135" spans="2:10" ht="15.5" hidden="1">
      <c r="B135" s="21"/>
      <c r="C135" s="979"/>
      <c r="E135" s="7"/>
      <c r="F135" s="1"/>
      <c r="G135" s="980"/>
      <c r="I135" s="1"/>
      <c r="J135" s="1"/>
    </row>
    <row r="136" spans="2:10" ht="15.5" hidden="1">
      <c r="B136" s="21"/>
      <c r="C136" s="979"/>
      <c r="E136" s="7"/>
      <c r="F136" s="1"/>
      <c r="G136" s="980"/>
      <c r="I136" s="1"/>
      <c r="J136" s="1"/>
    </row>
    <row r="137" spans="2:10" ht="15.5" hidden="1">
      <c r="B137" s="21"/>
      <c r="C137" s="979"/>
      <c r="E137" s="7"/>
      <c r="F137" s="1"/>
      <c r="G137" s="980"/>
      <c r="I137" s="1"/>
      <c r="J137" s="1"/>
    </row>
    <row r="138" spans="2:10" ht="15.5" hidden="1">
      <c r="B138" s="21"/>
      <c r="C138" s="979"/>
      <c r="E138" s="7"/>
      <c r="F138" s="1"/>
      <c r="G138" s="980"/>
      <c r="I138" s="1"/>
      <c r="J138" s="1"/>
    </row>
    <row r="139" spans="2:10" ht="15.5" hidden="1">
      <c r="B139" s="21"/>
      <c r="C139" s="979"/>
      <c r="E139" s="7"/>
      <c r="F139" s="1"/>
      <c r="G139" s="980"/>
      <c r="I139" s="1"/>
      <c r="J139" s="1"/>
    </row>
    <row r="140" spans="2:10" ht="15.5" hidden="1">
      <c r="B140" s="21"/>
      <c r="C140" s="979"/>
      <c r="E140" s="7"/>
      <c r="F140" s="1"/>
      <c r="G140" s="980"/>
      <c r="I140" s="1"/>
      <c r="J140" s="1"/>
    </row>
    <row r="141" spans="2:10" ht="15.5" hidden="1">
      <c r="B141" s="21"/>
      <c r="C141" s="979"/>
      <c r="E141" s="7"/>
      <c r="F141" s="1"/>
      <c r="G141" s="980"/>
      <c r="I141" s="1"/>
      <c r="J141" s="1"/>
    </row>
    <row r="142" spans="2:10" ht="19.5" hidden="1" customHeight="1">
      <c r="B142" s="21"/>
      <c r="C142" s="979"/>
      <c r="E142" s="7"/>
      <c r="F142" s="1"/>
      <c r="G142" s="980"/>
      <c r="I142" s="1"/>
      <c r="J142" s="1"/>
    </row>
    <row r="143" spans="2:10" ht="15.5" hidden="1">
      <c r="B143" s="21"/>
      <c r="C143" s="979"/>
      <c r="E143" s="7"/>
      <c r="F143" s="1"/>
      <c r="G143" s="980"/>
      <c r="I143" s="1"/>
      <c r="J143" s="1"/>
    </row>
    <row r="144" spans="2:10" ht="15.5" hidden="1">
      <c r="B144" s="21"/>
      <c r="C144" s="979"/>
      <c r="E144" s="7"/>
      <c r="F144" s="1"/>
      <c r="G144" s="980"/>
      <c r="I144" s="1"/>
      <c r="J144" s="1"/>
    </row>
    <row r="145" spans="2:10" ht="15.5" hidden="1">
      <c r="B145" s="21"/>
      <c r="C145" s="979"/>
      <c r="E145" s="7"/>
      <c r="F145" s="1"/>
      <c r="G145" s="980"/>
      <c r="I145" s="1"/>
      <c r="J145" s="1"/>
    </row>
    <row r="146" spans="2:10" ht="15.5" hidden="1">
      <c r="B146" s="21"/>
      <c r="C146" s="979"/>
      <c r="E146" s="7"/>
      <c r="F146" s="1"/>
      <c r="G146" s="980"/>
      <c r="I146" s="1"/>
      <c r="J146" s="1"/>
    </row>
    <row r="147" spans="2:10" ht="15.5" hidden="1">
      <c r="B147" s="21"/>
      <c r="C147" s="979"/>
      <c r="E147" s="7"/>
      <c r="F147" s="1"/>
      <c r="G147" s="980"/>
      <c r="I147" s="1"/>
      <c r="J147" s="1"/>
    </row>
    <row r="148" spans="2:10" ht="15.5" hidden="1">
      <c r="B148" s="21"/>
      <c r="C148" s="979"/>
      <c r="E148" s="7"/>
      <c r="F148" s="1"/>
      <c r="G148" s="980"/>
      <c r="I148" s="1"/>
      <c r="J148" s="1"/>
    </row>
    <row r="149" spans="2:10" ht="15.5" hidden="1">
      <c r="B149" s="21"/>
      <c r="C149" s="979"/>
      <c r="E149" s="7"/>
      <c r="F149" s="1"/>
      <c r="G149" s="980"/>
      <c r="I149" s="1"/>
      <c r="J149" s="1"/>
    </row>
    <row r="150" spans="2:10" ht="15.5" hidden="1">
      <c r="B150" s="21"/>
      <c r="C150" s="979"/>
      <c r="E150" s="7"/>
      <c r="F150" s="1"/>
      <c r="G150" s="980"/>
      <c r="I150" s="1"/>
      <c r="J150" s="1"/>
    </row>
    <row r="151" spans="2:10" ht="15" hidden="1" customHeight="1">
      <c r="B151" s="21"/>
      <c r="C151" s="979"/>
      <c r="E151" s="7"/>
      <c r="F151" s="1"/>
      <c r="G151" s="980"/>
      <c r="I151" s="1"/>
      <c r="J151" s="1"/>
    </row>
    <row r="152" spans="2:10" ht="15.5" hidden="1">
      <c r="B152" s="21"/>
      <c r="C152" s="979"/>
      <c r="E152" s="7"/>
      <c r="F152" s="1"/>
      <c r="G152" s="980"/>
      <c r="I152" s="1"/>
      <c r="J152" s="1"/>
    </row>
    <row r="153" spans="2:10" ht="15.5" hidden="1">
      <c r="B153" s="21"/>
      <c r="C153" s="979"/>
      <c r="E153" s="7"/>
      <c r="F153" s="1"/>
      <c r="G153" s="980"/>
      <c r="I153" s="1"/>
      <c r="J153" s="1"/>
    </row>
    <row r="154" spans="2:10" ht="15.5" hidden="1">
      <c r="B154" s="21"/>
      <c r="C154" s="979"/>
      <c r="E154" s="7"/>
      <c r="F154" s="1"/>
      <c r="G154" s="980"/>
      <c r="I154" s="1"/>
      <c r="J154" s="1"/>
    </row>
    <row r="155" spans="2:10" ht="15.5" hidden="1">
      <c r="B155" s="21"/>
      <c r="C155" s="979"/>
      <c r="E155" s="7"/>
      <c r="F155" s="1"/>
      <c r="G155" s="980"/>
    </row>
    <row r="156" spans="2:10" ht="15.5" hidden="1">
      <c r="B156" s="21"/>
      <c r="C156" s="979"/>
      <c r="E156" s="7"/>
      <c r="F156" s="1"/>
      <c r="G156" s="980"/>
    </row>
    <row r="157" spans="2:10" ht="15.5" hidden="1">
      <c r="B157" s="21"/>
      <c r="C157" s="979"/>
      <c r="E157" s="7"/>
      <c r="F157" s="1"/>
      <c r="G157" s="980"/>
    </row>
    <row r="158" spans="2:10" ht="15.5" hidden="1">
      <c r="B158" s="21"/>
      <c r="C158" s="979"/>
      <c r="E158" s="7"/>
      <c r="F158" s="1"/>
      <c r="G158" s="980"/>
    </row>
    <row r="159" spans="2:10" ht="15.5" hidden="1">
      <c r="B159" s="21"/>
      <c r="C159" s="979"/>
      <c r="E159" s="7"/>
      <c r="F159" s="1"/>
      <c r="G159" s="980"/>
    </row>
    <row r="160" spans="2:10" ht="15.5">
      <c r="B160" s="21"/>
      <c r="C160" s="979"/>
      <c r="E160" s="7"/>
      <c r="F160" s="1"/>
      <c r="G160" s="980">
        <f>SUM(G84:G159)</f>
        <v>117000</v>
      </c>
    </row>
    <row r="161" spans="2:7" ht="15.5">
      <c r="B161" s="21"/>
      <c r="C161" s="979" t="s">
        <v>82</v>
      </c>
      <c r="E161" s="7"/>
      <c r="F161" s="1"/>
      <c r="G161" s="980">
        <f>G160*18/100</f>
        <v>21060</v>
      </c>
    </row>
    <row r="162" spans="2:7" ht="15.5">
      <c r="B162" s="21"/>
      <c r="C162" s="979"/>
      <c r="E162" s="7"/>
      <c r="F162" s="1"/>
      <c r="G162" s="134">
        <f>SUM(G160:G161)</f>
        <v>138060</v>
      </c>
    </row>
    <row r="163" spans="2:7" ht="15.5">
      <c r="B163" s="21" t="s">
        <v>83</v>
      </c>
      <c r="C163" s="979"/>
      <c r="E163" s="7"/>
    </row>
    <row r="164" spans="2:7" ht="15.5">
      <c r="B164" s="21"/>
      <c r="C164" s="975" t="s">
        <v>57</v>
      </c>
      <c r="D164" s="975"/>
      <c r="E164" s="45" t="s">
        <v>71</v>
      </c>
      <c r="F164" s="45" t="s">
        <v>84</v>
      </c>
      <c r="G164" s="45" t="s">
        <v>73</v>
      </c>
    </row>
    <row r="165" spans="2:7" ht="15.5">
      <c r="B165" s="21"/>
      <c r="C165" s="21"/>
      <c r="D165" s="21"/>
      <c r="E165" s="19"/>
    </row>
    <row r="166" spans="2:7" ht="15.5">
      <c r="B166" s="21" t="s">
        <v>85</v>
      </c>
      <c r="C166" s="19" t="s">
        <v>295</v>
      </c>
      <c r="D166" s="21"/>
      <c r="E166" s="19">
        <v>15</v>
      </c>
      <c r="F166">
        <v>15000</v>
      </c>
      <c r="G166">
        <v>225000</v>
      </c>
    </row>
    <row r="167" spans="2:7" ht="15.5">
      <c r="B167" s="21"/>
      <c r="C167" s="19" t="s">
        <v>296</v>
      </c>
      <c r="D167" s="19"/>
      <c r="E167" s="121">
        <v>25</v>
      </c>
      <c r="F167">
        <v>2500</v>
      </c>
      <c r="G167">
        <v>62500</v>
      </c>
    </row>
    <row r="168" spans="2:7" ht="15.5">
      <c r="C168" s="19" t="s">
        <v>297</v>
      </c>
      <c r="D168" s="19"/>
      <c r="E168" s="121">
        <v>250</v>
      </c>
      <c r="F168">
        <v>300</v>
      </c>
      <c r="G168">
        <v>75000</v>
      </c>
    </row>
    <row r="169" spans="2:7" ht="15.5">
      <c r="C169" s="19" t="s">
        <v>298</v>
      </c>
      <c r="D169" s="19"/>
      <c r="E169" s="121">
        <v>500</v>
      </c>
      <c r="F169">
        <v>50</v>
      </c>
      <c r="G169">
        <v>25000</v>
      </c>
    </row>
    <row r="170" spans="2:7" ht="15.5">
      <c r="C170" s="19"/>
      <c r="D170" s="19"/>
      <c r="E170" s="121"/>
    </row>
    <row r="171" spans="2:7" ht="15.5">
      <c r="C171" s="19"/>
      <c r="D171" s="19"/>
      <c r="E171" s="121"/>
      <c r="G171" s="1084">
        <v>387500</v>
      </c>
    </row>
    <row r="172" spans="2:7" ht="15.5">
      <c r="C172" s="19"/>
      <c r="D172" s="19"/>
      <c r="E172" s="121"/>
    </row>
    <row r="173" spans="2:7" ht="15.5">
      <c r="C173" s="19" t="s">
        <v>299</v>
      </c>
      <c r="D173" s="1086" t="s">
        <v>790</v>
      </c>
      <c r="E173" s="121"/>
      <c r="G173" s="1084">
        <v>69750</v>
      </c>
    </row>
    <row r="174" spans="2:7" ht="15.5">
      <c r="C174" s="19"/>
      <c r="E174" s="121"/>
    </row>
    <row r="175" spans="2:7" ht="15.5">
      <c r="C175" s="19"/>
      <c r="D175" s="19"/>
      <c r="E175" s="1085" t="s">
        <v>789</v>
      </c>
      <c r="G175" s="1084">
        <v>457250</v>
      </c>
    </row>
    <row r="176" spans="2:7" ht="15.5">
      <c r="C176" s="19"/>
      <c r="D176" s="19"/>
      <c r="E176" s="100"/>
      <c r="F176" s="101"/>
      <c r="G176" s="121"/>
    </row>
    <row r="177" spans="3:7" ht="15.5">
      <c r="C177" s="19"/>
      <c r="D177" s="19"/>
      <c r="E177" s="100"/>
      <c r="F177" s="101"/>
      <c r="G177" s="121"/>
    </row>
    <row r="178" spans="3:7" ht="15.5">
      <c r="C178" s="19"/>
      <c r="D178" s="19"/>
      <c r="E178" s="100"/>
      <c r="F178" s="101"/>
      <c r="G178" s="121"/>
    </row>
    <row r="179" spans="3:7" ht="15.5">
      <c r="C179" s="19"/>
      <c r="D179" s="19"/>
      <c r="E179" s="100"/>
      <c r="F179" s="101"/>
      <c r="G179" s="121"/>
    </row>
    <row r="180" spans="3:7" ht="15.5">
      <c r="C180" s="19"/>
      <c r="D180" s="19"/>
      <c r="E180" s="100"/>
      <c r="F180" s="101"/>
      <c r="G180" s="121"/>
    </row>
    <row r="181" spans="3:7" ht="15.5">
      <c r="C181" s="19"/>
      <c r="D181" s="19"/>
      <c r="E181" s="100"/>
      <c r="F181" s="101"/>
      <c r="G181" s="121"/>
    </row>
    <row r="182" spans="3:7" ht="15.5">
      <c r="C182" s="19"/>
      <c r="D182" s="19"/>
      <c r="E182" s="980"/>
      <c r="F182" s="101"/>
      <c r="G182" s="981"/>
    </row>
    <row r="183" spans="3:7" ht="15.5">
      <c r="C183" s="142"/>
      <c r="D183" s="142"/>
      <c r="E183" s="980"/>
      <c r="F183" s="101"/>
      <c r="G183" s="129"/>
    </row>
    <row r="184" spans="3:7" ht="15.5">
      <c r="E184" s="913"/>
      <c r="F184" s="5"/>
      <c r="G184" s="130"/>
    </row>
    <row r="185" spans="3:7" ht="15.5">
      <c r="G185" s="136"/>
    </row>
    <row r="186" spans="3:7" ht="15.5">
      <c r="C186" s="19"/>
      <c r="D186" s="19"/>
      <c r="E186" s="980"/>
      <c r="F186" s="19"/>
      <c r="G186" s="100"/>
    </row>
    <row r="187" spans="3:7" ht="15.5">
      <c r="C187" s="19"/>
      <c r="D187" s="19"/>
      <c r="E187" s="980"/>
      <c r="F187" s="19"/>
      <c r="G187" s="100"/>
    </row>
    <row r="188" spans="3:7" ht="15.5">
      <c r="C188" s="19"/>
      <c r="D188" s="19"/>
      <c r="E188" s="118"/>
      <c r="F188" s="19"/>
      <c r="G188" s="100"/>
    </row>
    <row r="189" spans="3:7" ht="15.5">
      <c r="C189" s="19"/>
      <c r="D189" s="19"/>
      <c r="E189" s="980"/>
      <c r="F189" s="19"/>
      <c r="G189" s="100"/>
    </row>
    <row r="205" spans="6:6">
      <c r="F205" t="s">
        <v>86</v>
      </c>
    </row>
  </sheetData>
  <dataValidations count="13">
    <dataValidation allowBlank="1" showInputMessage="1" showErrorMessage="1" prompt="PLS SELECTE PANCHAYATH OR MUNICIPALITY FROM LEFT CELL_x000a_" sqref="C7 C8:D8 C9 C20 C21:D21" xr:uid="{00000000-0002-0000-0000-000000000000}"/>
    <dataValidation type="list" allowBlank="1" showInputMessage="1" showErrorMessage="1" sqref="B8 B21" xr:uid="{00000000-0002-0000-0000-000001000000}">
      <formula1>"PANCHAYATH, MUNICIPALITY"</formula1>
    </dataValidation>
    <dataValidation type="list" allowBlank="1" showInputMessage="1" showErrorMessage="1" promptTitle="KASARAGOD KANNUR PALAKKAD" sqref="C12:D12 C25" xr:uid="{00000000-0002-0000-0000-000002000000}">
      <formula1>"KASARAGOD, KANNUR, PALAKKAD,  KOZHIKOD"</formula1>
    </dataValidation>
    <dataValidation type="list" allowBlank="1" showInputMessage="1" showErrorMessage="1" promptTitle="GENDER" prompt="PLZ SELECT_x000a_ MALE_x000a_ OR_x000a_ FEMALE_x000a_" sqref="C15:D15" xr:uid="{00000000-0002-0000-0000-000003000000}">
      <formula1>"MALE,FEMALE"</formula1>
    </dataValidation>
    <dataValidation type="list" allowBlank="1" showInputMessage="1" showErrorMessage="1" sqref="C17:D17 C46:D46" xr:uid="{00000000-0002-0000-0000-000004000000}">
      <formula1>"S/o.,D/o.,W/o."</formula1>
    </dataValidation>
    <dataValidation type="list" allowBlank="1" showInputMessage="1" showErrorMessage="1" sqref="B18" xr:uid="{00000000-0002-0000-0000-000005000000}">
      <formula1>"Name of Father, Name of Spouse, Name of Mother"</formula1>
    </dataValidation>
    <dataValidation allowBlank="1" showInputMessage="1" showErrorMessage="1" prompt="PLZ SELCTE NAME OF FATHER, SPOUSE OR MOTHER  FROM LEFT CELL" sqref="C18:D18" xr:uid="{00000000-0002-0000-0000-000006000000}"/>
    <dataValidation type="list" allowBlank="1" showInputMessage="1" showErrorMessage="1" promptTitle="TYPE OF BUSINESS" prompt="PLZ SELECT WHICH TYPE  OF BUSINESS" sqref="C31:D31" xr:uid="{00000000-0002-0000-0000-000007000000}">
      <formula1>"TRADING, MANUFAURING, SERVICE"</formula1>
    </dataValidation>
    <dataValidation type="list" allowBlank="1" showInputMessage="1" showErrorMessage="1" promptTitle="STATUS" prompt="WHETHER BUSINESS EXISTING OR NEW(FRESH)" sqref="C32:D32" xr:uid="{00000000-0002-0000-0000-000008000000}">
      <formula1>"FRESH,EXISTING"</formula1>
    </dataValidation>
    <dataValidation type="list" allowBlank="1" showInputMessage="1" showErrorMessage="1" promptTitle="TYPE OF LOAN REQUIRED " prompt="SELECT PMEGP , MUDRA OR  NORKA" sqref="C36:D36" xr:uid="{00000000-0002-0000-0000-000009000000}">
      <formula1>"PMEGP, MUDRA, NORKA,SME"</formula1>
    </dataValidation>
    <dataValidation type="list" allowBlank="1" showInputMessage="1" showErrorMessage="1" promptTitle="TYPE OF LOAN REQUIRED " prompt="SELECT PMEGP , MUDRA OR  NORKA" sqref="C37:D37" xr:uid="{00000000-0002-0000-0000-00000A000000}">
      <formula1>"5, 7  "</formula1>
    </dataValidation>
    <dataValidation allowBlank="1" showInputMessage="1" showErrorMessage="1" promptTitle="PLS TYPE" prompt="BRANCH OF THE BANK" sqref="C39:D39" xr:uid="{00000000-0002-0000-0000-00000B000000}"/>
    <dataValidation type="list" allowBlank="1" showInputMessage="1" showErrorMessage="1" sqref="C45:D45" xr:uid="{00000000-0002-0000-0000-00000C000000}">
      <formula1>"He,She"</formula1>
    </dataValidation>
  </dataValidations>
  <pageMargins left="0.7" right="0.7" top="0.75" bottom="0.75" header="0.3" footer="0.3"/>
  <pageSetup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46"/>
  <sheetViews>
    <sheetView topLeftCell="A90" workbookViewId="0">
      <selection activeCell="J141" sqref="A92:J141"/>
    </sheetView>
  </sheetViews>
  <sheetFormatPr defaultColWidth="9" defaultRowHeight="12.5"/>
  <cols>
    <col min="1" max="1" width="1.54296875" customWidth="1"/>
    <col min="2" max="2" width="4" customWidth="1"/>
    <col min="3" max="3" width="8.26953125" customWidth="1"/>
    <col min="4" max="4" width="11" customWidth="1"/>
    <col min="5" max="5" width="18.81640625" customWidth="1"/>
    <col min="6" max="6" width="13.81640625" customWidth="1"/>
    <col min="7" max="7" width="4.453125" customWidth="1"/>
    <col min="9" max="9" width="11.7265625" customWidth="1"/>
    <col min="10" max="10" width="19.26953125" customWidth="1"/>
  </cols>
  <sheetData>
    <row r="1" spans="1:10" ht="6.75" customHeight="1"/>
    <row r="2" spans="1:10" ht="9" customHeight="1">
      <c r="A2" s="387"/>
      <c r="B2" s="388"/>
      <c r="C2" s="388"/>
      <c r="D2" s="388"/>
      <c r="E2" s="388"/>
      <c r="F2" s="388"/>
      <c r="G2" s="388"/>
      <c r="H2" s="388"/>
      <c r="I2" s="388"/>
      <c r="J2" s="472"/>
    </row>
    <row r="3" spans="1:10" ht="30" customHeight="1">
      <c r="A3" s="391"/>
      <c r="B3" s="898" t="s">
        <v>87</v>
      </c>
      <c r="C3" s="899"/>
      <c r="D3" s="899"/>
      <c r="E3" s="899"/>
      <c r="F3" s="899"/>
      <c r="G3" s="337"/>
      <c r="J3" s="476"/>
    </row>
    <row r="4" spans="1:10">
      <c r="A4" s="391"/>
      <c r="B4" s="899"/>
      <c r="C4" s="899"/>
      <c r="D4" s="899"/>
      <c r="E4" s="899" t="s">
        <v>88</v>
      </c>
      <c r="F4" s="899"/>
      <c r="G4" s="337"/>
      <c r="J4" s="476"/>
    </row>
    <row r="5" spans="1:10" ht="19.5">
      <c r="A5" s="391"/>
      <c r="B5" s="900" t="str">
        <f>'PROJECT REPORT '!H6</f>
        <v xml:space="preserve">M/S.SHAS DESIGN AND PRINTING </v>
      </c>
      <c r="C5" s="901"/>
      <c r="D5" s="901"/>
      <c r="E5" s="901"/>
      <c r="H5" s="902" t="str">
        <f>'DATA INPUT '!C3</f>
        <v>NEAR POST OFFICE, NILESHWAR</v>
      </c>
      <c r="J5" s="476"/>
    </row>
    <row r="6" spans="1:10" ht="14.25" customHeight="1">
      <c r="A6" s="391"/>
      <c r="D6" s="903" t="s">
        <v>89</v>
      </c>
      <c r="H6" s="904" t="str">
        <f>'DATA INPUT '!C8</f>
        <v>NILESHWAR</v>
      </c>
      <c r="J6" s="476"/>
    </row>
    <row r="7" spans="1:10" ht="18">
      <c r="A7" s="391"/>
      <c r="C7" s="903"/>
      <c r="D7" s="905" t="str">
        <f>'PROJECT REPORT '!H17</f>
        <v>Mr.SHAFEEK N N</v>
      </c>
      <c r="G7" s="986" t="s">
        <v>90</v>
      </c>
      <c r="H7" s="986"/>
      <c r="I7" s="987">
        <f>'DATA INPUT '!C26</f>
        <v>9847599008</v>
      </c>
      <c r="J7" s="988"/>
    </row>
    <row r="8" spans="1:10" ht="15.5">
      <c r="A8" s="391"/>
      <c r="D8" s="5" t="str">
        <f>'DATA INPUT '!C19</f>
        <v>BAITHUL SHAMNA HOUSE</v>
      </c>
      <c r="I8" s="989"/>
      <c r="J8" s="990"/>
    </row>
    <row r="9" spans="1:10" ht="15.5">
      <c r="A9" s="391"/>
      <c r="D9" s="5" t="str">
        <f>'DATA INPUT '!C21</f>
        <v>NILESHWAR</v>
      </c>
      <c r="G9" s="19"/>
      <c r="J9" s="476"/>
    </row>
    <row r="10" spans="1:10" ht="15.5">
      <c r="A10" s="391"/>
      <c r="D10" s="5" t="str">
        <f>'DATA INPUT '!C12</f>
        <v>KASARAGOD</v>
      </c>
      <c r="J10" s="476"/>
    </row>
    <row r="11" spans="1:10">
      <c r="A11" s="391"/>
      <c r="J11" s="476"/>
    </row>
    <row r="12" spans="1:10">
      <c r="A12" s="391"/>
      <c r="J12" s="476"/>
    </row>
    <row r="13" spans="1:10">
      <c r="A13" s="391"/>
      <c r="J13" s="476"/>
    </row>
    <row r="14" spans="1:10">
      <c r="A14" s="391"/>
      <c r="J14" s="476"/>
    </row>
    <row r="15" spans="1:10">
      <c r="A15" s="391"/>
      <c r="J15" s="476"/>
    </row>
    <row r="16" spans="1:10">
      <c r="A16" s="391"/>
      <c r="J16" s="476"/>
    </row>
    <row r="17" spans="1:10">
      <c r="A17" s="391"/>
      <c r="J17" s="476"/>
    </row>
    <row r="18" spans="1:10">
      <c r="A18" s="391"/>
      <c r="J18" s="476"/>
    </row>
    <row r="19" spans="1:10">
      <c r="A19" s="391"/>
      <c r="J19" s="476"/>
    </row>
    <row r="20" spans="1:10">
      <c r="A20" s="391"/>
      <c r="J20" s="476"/>
    </row>
    <row r="21" spans="1:10">
      <c r="A21" s="391"/>
      <c r="J21" s="476"/>
    </row>
    <row r="22" spans="1:10">
      <c r="A22" s="391"/>
      <c r="J22" s="476"/>
    </row>
    <row r="23" spans="1:10">
      <c r="A23" s="391"/>
      <c r="J23" s="476"/>
    </row>
    <row r="24" spans="1:10">
      <c r="A24" s="391"/>
      <c r="J24" s="476"/>
    </row>
    <row r="25" spans="1:10">
      <c r="A25" s="391"/>
      <c r="J25" s="476"/>
    </row>
    <row r="26" spans="1:10">
      <c r="A26" s="391"/>
      <c r="J26" s="476"/>
    </row>
    <row r="27" spans="1:10">
      <c r="A27" s="391"/>
      <c r="J27" s="476"/>
    </row>
    <row r="28" spans="1:10">
      <c r="A28" s="391"/>
      <c r="J28" s="476"/>
    </row>
    <row r="29" spans="1:10">
      <c r="A29" s="391"/>
      <c r="J29" s="476"/>
    </row>
    <row r="30" spans="1:10">
      <c r="A30" s="391"/>
      <c r="J30" s="476"/>
    </row>
    <row r="31" spans="1:10">
      <c r="A31" s="391"/>
      <c r="J31" s="476"/>
    </row>
    <row r="32" spans="1:10">
      <c r="A32" s="391"/>
      <c r="J32" s="476"/>
    </row>
    <row r="33" spans="1:10">
      <c r="A33" s="391"/>
      <c r="J33" s="476"/>
    </row>
    <row r="34" spans="1:10">
      <c r="A34" s="391"/>
      <c r="J34" s="476"/>
    </row>
    <row r="35" spans="1:10">
      <c r="A35" s="391"/>
      <c r="J35" s="476"/>
    </row>
    <row r="36" spans="1:10">
      <c r="A36" s="391"/>
      <c r="J36" s="476"/>
    </row>
    <row r="37" spans="1:10">
      <c r="A37" s="391"/>
      <c r="J37" s="476"/>
    </row>
    <row r="38" spans="1:10">
      <c r="A38" s="391"/>
      <c r="J38" s="476"/>
    </row>
    <row r="39" spans="1:10">
      <c r="A39" s="391"/>
      <c r="J39" s="476"/>
    </row>
    <row r="40" spans="1:10">
      <c r="A40" s="391"/>
      <c r="J40" s="476"/>
    </row>
    <row r="41" spans="1:10" ht="15.5">
      <c r="A41" s="391"/>
      <c r="B41" s="240" t="s">
        <v>91</v>
      </c>
      <c r="J41" s="476"/>
    </row>
    <row r="42" spans="1:10" ht="15.5">
      <c r="A42" s="391"/>
      <c r="E42" s="240"/>
      <c r="G42" s="240"/>
      <c r="J42" s="476"/>
    </row>
    <row r="43" spans="1:10" ht="20">
      <c r="A43" s="391"/>
      <c r="B43" s="906" t="str">
        <f>'DATA INPUT '!C38</f>
        <v>FEDERAL BANK</v>
      </c>
      <c r="C43" s="906"/>
      <c r="D43" s="341"/>
      <c r="E43" s="341"/>
      <c r="F43" s="341"/>
      <c r="G43" s="341"/>
      <c r="I43" s="507"/>
      <c r="J43" s="476"/>
    </row>
    <row r="44" spans="1:10">
      <c r="A44" s="391"/>
      <c r="J44" s="476"/>
    </row>
    <row r="45" spans="1:10" ht="5.25" customHeight="1">
      <c r="A45" s="391"/>
      <c r="J45" s="476"/>
    </row>
    <row r="46" spans="1:10" ht="15.5">
      <c r="A46" s="391"/>
      <c r="B46" s="21" t="str">
        <f>'DATA INPUT '!$C$39</f>
        <v>NILESHWAR</v>
      </c>
      <c r="J46" s="476"/>
    </row>
    <row r="47" spans="1:10">
      <c r="A47" s="391"/>
      <c r="J47" s="476"/>
    </row>
    <row r="48" spans="1:10" hidden="1">
      <c r="A48" s="391"/>
      <c r="J48" s="476"/>
    </row>
    <row r="49" spans="1:10">
      <c r="A49" s="391"/>
      <c r="J49" s="476"/>
    </row>
    <row r="50" spans="1:10" ht="9.75" customHeight="1">
      <c r="A50" s="382"/>
      <c r="B50" s="383"/>
      <c r="C50" s="383"/>
      <c r="D50" s="383"/>
      <c r="E50" s="383"/>
      <c r="F50" s="383"/>
      <c r="G50" s="383"/>
      <c r="H50" s="383"/>
      <c r="I50" s="383"/>
      <c r="J50" s="600"/>
    </row>
    <row r="53" spans="1:10">
      <c r="A53" s="387"/>
      <c r="B53" s="388"/>
      <c r="C53" s="388"/>
      <c r="D53" s="388"/>
      <c r="E53" s="388"/>
      <c r="F53" s="388"/>
      <c r="G53" s="388"/>
      <c r="H53" s="388"/>
      <c r="I53" s="388"/>
      <c r="J53" s="472"/>
    </row>
    <row r="54" spans="1:10">
      <c r="A54" s="391"/>
      <c r="J54" s="476"/>
    </row>
    <row r="55" spans="1:10">
      <c r="A55" s="391"/>
      <c r="J55" s="476"/>
    </row>
    <row r="56" spans="1:10">
      <c r="A56" s="391"/>
      <c r="J56" s="476"/>
    </row>
    <row r="57" spans="1:10">
      <c r="A57" s="391"/>
      <c r="J57" s="476"/>
    </row>
    <row r="58" spans="1:10">
      <c r="A58" s="391"/>
      <c r="J58" s="476"/>
    </row>
    <row r="59" spans="1:10" ht="19.5">
      <c r="A59" s="391"/>
      <c r="B59" s="907" t="s">
        <v>92</v>
      </c>
      <c r="J59" s="861"/>
    </row>
    <row r="60" spans="1:10" ht="19.5">
      <c r="A60" s="391"/>
      <c r="B60" s="908"/>
      <c r="J60" s="861"/>
    </row>
    <row r="61" spans="1:10" ht="19.5">
      <c r="A61" s="391"/>
      <c r="B61" s="908"/>
      <c r="J61" s="861"/>
    </row>
    <row r="62" spans="1:10" ht="19.5">
      <c r="A62" s="391"/>
      <c r="B62" s="907" t="s">
        <v>93</v>
      </c>
      <c r="J62" s="861"/>
    </row>
    <row r="63" spans="1:10" ht="19.5">
      <c r="A63" s="391"/>
      <c r="B63" s="908"/>
      <c r="J63" s="861"/>
    </row>
    <row r="64" spans="1:10" ht="19.5">
      <c r="A64" s="391"/>
      <c r="B64" s="908"/>
      <c r="J64" s="861"/>
    </row>
    <row r="65" spans="1:10" ht="19.5">
      <c r="A65" s="391"/>
      <c r="B65" s="907" t="s">
        <v>94</v>
      </c>
      <c r="J65" s="861"/>
    </row>
    <row r="66" spans="1:10" ht="19.5">
      <c r="A66" s="391"/>
      <c r="B66" s="908"/>
      <c r="J66" s="861"/>
    </row>
    <row r="67" spans="1:10" ht="19.5">
      <c r="A67" s="391"/>
      <c r="B67" s="908"/>
      <c r="J67" s="861"/>
    </row>
    <row r="68" spans="1:10" ht="19.5">
      <c r="A68" s="391"/>
      <c r="B68" s="907" t="s">
        <v>95</v>
      </c>
      <c r="J68" s="861"/>
    </row>
    <row r="69" spans="1:10" ht="19.5">
      <c r="A69" s="391"/>
      <c r="B69" s="908"/>
      <c r="J69" s="861"/>
    </row>
    <row r="70" spans="1:10" ht="19.5">
      <c r="A70" s="391"/>
      <c r="B70" s="908"/>
      <c r="J70" s="861"/>
    </row>
    <row r="71" spans="1:10" ht="19.5">
      <c r="A71" s="391"/>
      <c r="B71" s="907" t="s">
        <v>96</v>
      </c>
      <c r="J71" s="861"/>
    </row>
    <row r="72" spans="1:10" ht="19.5">
      <c r="A72" s="391"/>
      <c r="B72" s="908"/>
      <c r="J72" s="861"/>
    </row>
    <row r="73" spans="1:10" ht="19.5">
      <c r="A73" s="391"/>
      <c r="B73" s="908"/>
      <c r="J73" s="861"/>
    </row>
    <row r="74" spans="1:10" ht="19.5">
      <c r="A74" s="391"/>
      <c r="B74" s="907" t="s">
        <v>97</v>
      </c>
      <c r="J74" s="861"/>
    </row>
    <row r="75" spans="1:10" ht="17.5">
      <c r="A75" s="391"/>
      <c r="B75" s="907"/>
      <c r="J75" s="861"/>
    </row>
    <row r="76" spans="1:10" ht="19.5">
      <c r="A76" s="391"/>
      <c r="B76" s="908"/>
      <c r="J76" s="861"/>
    </row>
    <row r="77" spans="1:10" ht="19.5">
      <c r="A77" s="391"/>
      <c r="B77" s="907" t="s">
        <v>98</v>
      </c>
      <c r="J77" s="861"/>
    </row>
    <row r="78" spans="1:10" ht="19.5">
      <c r="A78" s="391"/>
      <c r="B78" s="908"/>
      <c r="J78" s="861"/>
    </row>
    <row r="79" spans="1:10" ht="19.5">
      <c r="A79" s="391"/>
      <c r="B79" s="908"/>
      <c r="J79" s="861"/>
    </row>
    <row r="80" spans="1:10" ht="19.5">
      <c r="A80" s="391"/>
      <c r="B80" s="907" t="s">
        <v>99</v>
      </c>
      <c r="J80" s="861"/>
    </row>
    <row r="81" spans="1:10" ht="19.5">
      <c r="A81" s="391"/>
      <c r="B81" s="908"/>
      <c r="J81" s="861"/>
    </row>
    <row r="82" spans="1:10" ht="19.5">
      <c r="A82" s="391"/>
      <c r="B82" s="908"/>
      <c r="J82" s="861"/>
    </row>
    <row r="83" spans="1:10" ht="19.5">
      <c r="A83" s="391"/>
      <c r="B83" s="907" t="s">
        <v>100</v>
      </c>
      <c r="J83" s="861"/>
    </row>
    <row r="84" spans="1:10" ht="19.5">
      <c r="A84" s="391"/>
      <c r="B84" s="909"/>
      <c r="J84" s="861"/>
    </row>
    <row r="85" spans="1:10" ht="19.5">
      <c r="A85" s="391"/>
      <c r="B85" s="908"/>
      <c r="J85" s="861"/>
    </row>
    <row r="86" spans="1:10" ht="19.5">
      <c r="A86" s="391"/>
      <c r="B86" s="907" t="s">
        <v>101</v>
      </c>
      <c r="J86" s="861"/>
    </row>
    <row r="87" spans="1:10" ht="17.5" hidden="1">
      <c r="A87" s="391"/>
      <c r="B87" s="907"/>
      <c r="J87" s="861"/>
    </row>
    <row r="88" spans="1:10" ht="17.5">
      <c r="A88" s="391"/>
      <c r="B88" s="907"/>
      <c r="J88" s="861"/>
    </row>
    <row r="89" spans="1:10" hidden="1">
      <c r="A89" s="391"/>
      <c r="J89" s="476"/>
    </row>
    <row r="90" spans="1:10">
      <c r="A90" s="382"/>
      <c r="B90" s="383"/>
      <c r="C90" s="383"/>
      <c r="D90" s="383"/>
      <c r="E90" s="383"/>
      <c r="F90" s="383"/>
      <c r="G90" s="383"/>
      <c r="H90" s="383"/>
      <c r="I90" s="383"/>
      <c r="J90" s="600"/>
    </row>
    <row r="93" spans="1:10">
      <c r="A93" s="387"/>
      <c r="B93" s="388"/>
      <c r="C93" s="388"/>
      <c r="D93" s="388"/>
      <c r="E93" s="388"/>
      <c r="F93" s="388"/>
      <c r="G93" s="388"/>
      <c r="H93" s="388"/>
      <c r="I93" s="388"/>
      <c r="J93" s="472"/>
    </row>
    <row r="94" spans="1:10">
      <c r="A94" s="391"/>
      <c r="J94" s="476"/>
    </row>
    <row r="95" spans="1:10">
      <c r="A95" s="391"/>
      <c r="J95" s="476"/>
    </row>
    <row r="96" spans="1:10">
      <c r="A96" s="391"/>
      <c r="J96" s="476"/>
    </row>
    <row r="97" spans="1:13" ht="15.5">
      <c r="A97" s="391"/>
      <c r="B97" s="240" t="s">
        <v>102</v>
      </c>
      <c r="J97" s="476"/>
    </row>
    <row r="98" spans="1:13">
      <c r="A98" s="391"/>
      <c r="J98" s="476"/>
    </row>
    <row r="99" spans="1:13" ht="15.5">
      <c r="A99" s="391"/>
      <c r="B99" s="19" t="s">
        <v>103</v>
      </c>
      <c r="C99" s="19"/>
      <c r="D99" s="19"/>
      <c r="E99" s="19"/>
      <c r="F99" s="19"/>
      <c r="G99" s="19"/>
      <c r="H99" s="19"/>
      <c r="J99" s="476"/>
    </row>
    <row r="100" spans="1:13" ht="15.5">
      <c r="A100" s="391"/>
      <c r="B100" s="19" t="str">
        <f>'DATA INPUT '!C35</f>
        <v>DIGITAL PRINTING</v>
      </c>
      <c r="C100" s="19"/>
      <c r="D100" s="19"/>
      <c r="E100" s="19"/>
      <c r="F100" s="19"/>
      <c r="H100" s="19"/>
      <c r="J100" s="476"/>
    </row>
    <row r="101" spans="1:13" ht="15.5">
      <c r="A101" s="391"/>
      <c r="B101" s="19" t="s">
        <v>104</v>
      </c>
      <c r="C101" s="19"/>
      <c r="D101" s="19"/>
      <c r="E101" s="19"/>
      <c r="F101" s="19"/>
      <c r="H101" s="19"/>
      <c r="J101" s="476"/>
    </row>
    <row r="102" spans="1:13" ht="15.5">
      <c r="A102" s="391"/>
      <c r="B102" s="21" t="str">
        <f>B5</f>
        <v xml:space="preserve">M/S.SHAS DESIGN AND PRINTING </v>
      </c>
      <c r="C102" s="19"/>
      <c r="D102" s="19"/>
      <c r="E102" s="19"/>
      <c r="F102" s="19"/>
      <c r="G102" s="21"/>
      <c r="H102" s="19"/>
      <c r="J102" s="476"/>
    </row>
    <row r="103" spans="1:13" ht="15.5">
      <c r="A103" s="391"/>
      <c r="C103" s="19" t="str">
        <f>'DATA INPUT '!C3</f>
        <v>NEAR POST OFFICE, NILESHWAR</v>
      </c>
      <c r="D103" s="19"/>
      <c r="E103" s="19"/>
      <c r="F103" s="19"/>
      <c r="G103" s="21"/>
      <c r="H103" s="19"/>
      <c r="J103" s="476"/>
    </row>
    <row r="104" spans="1:13" ht="15.5">
      <c r="A104" s="391"/>
      <c r="C104" s="19" t="str">
        <f>'DATA INPUT '!C7</f>
        <v>NILESHWAR</v>
      </c>
      <c r="D104" s="19"/>
      <c r="E104" s="19"/>
      <c r="F104" s="19"/>
      <c r="G104" s="21"/>
      <c r="H104" s="19"/>
      <c r="J104" s="476"/>
    </row>
    <row r="105" spans="1:13" ht="15.5">
      <c r="A105" s="391"/>
      <c r="C105" s="19" t="str">
        <f>D10</f>
        <v>KASARAGOD</v>
      </c>
      <c r="D105" s="19"/>
      <c r="E105" s="19"/>
      <c r="F105" s="19"/>
      <c r="G105" s="21"/>
      <c r="H105" s="19"/>
      <c r="J105" s="476"/>
    </row>
    <row r="106" spans="1:13" ht="15.5">
      <c r="A106" s="391"/>
      <c r="C106" s="19" t="s">
        <v>105</v>
      </c>
      <c r="D106" s="19"/>
      <c r="E106" s="5">
        <f>'DATA INPUT '!C13</f>
        <v>671314</v>
      </c>
      <c r="F106" s="19"/>
      <c r="J106" s="476"/>
    </row>
    <row r="107" spans="1:13" ht="15.5">
      <c r="A107" s="391"/>
      <c r="B107" s="910"/>
      <c r="C107" s="19"/>
      <c r="D107" s="19"/>
      <c r="E107" s="5"/>
      <c r="F107" s="19"/>
      <c r="J107" s="476"/>
      <c r="L107" s="991"/>
      <c r="M107" s="991"/>
    </row>
    <row r="108" spans="1:13" ht="15.5">
      <c r="A108" s="391"/>
      <c r="B108" s="19"/>
      <c r="C108" s="19"/>
      <c r="D108" s="19"/>
      <c r="E108" s="19"/>
      <c r="F108" s="19"/>
      <c r="G108" s="19"/>
      <c r="H108" s="19"/>
      <c r="J108" s="476"/>
      <c r="L108" s="991"/>
      <c r="M108" s="991"/>
    </row>
    <row r="109" spans="1:13" ht="15.5">
      <c r="A109" s="391"/>
      <c r="B109" s="19" t="s">
        <v>106</v>
      </c>
      <c r="C109" s="19"/>
      <c r="D109" s="19"/>
      <c r="E109" s="19"/>
      <c r="F109" s="19"/>
      <c r="G109" s="19"/>
      <c r="H109" s="19"/>
      <c r="J109" s="476"/>
    </row>
    <row r="110" spans="1:13" ht="15.5">
      <c r="A110" s="391"/>
      <c r="B110" s="19" t="s">
        <v>107</v>
      </c>
      <c r="C110" s="19"/>
      <c r="D110" s="19"/>
      <c r="E110" s="19"/>
      <c r="F110" s="19"/>
      <c r="G110" s="19"/>
      <c r="H110" s="19"/>
      <c r="J110" s="476"/>
    </row>
    <row r="111" spans="1:13" ht="15.5">
      <c r="A111" s="391"/>
      <c r="B111" s="19" t="s">
        <v>108</v>
      </c>
      <c r="D111" s="19"/>
      <c r="E111" s="19"/>
      <c r="F111" s="19"/>
      <c r="G111" s="19"/>
      <c r="H111" s="19"/>
      <c r="J111" s="476"/>
    </row>
    <row r="112" spans="1:13" ht="15.5">
      <c r="A112" s="391"/>
      <c r="B112" s="19" t="s">
        <v>109</v>
      </c>
      <c r="D112" s="19"/>
      <c r="E112" s="19"/>
      <c r="F112" s="19"/>
      <c r="G112" s="19"/>
      <c r="H112" s="19"/>
      <c r="J112" s="476"/>
    </row>
    <row r="113" spans="1:20" ht="15.5">
      <c r="A113" s="391"/>
      <c r="B113" s="19" t="s">
        <v>110</v>
      </c>
      <c r="D113" s="19"/>
      <c r="E113" s="19"/>
      <c r="F113" s="19"/>
      <c r="G113" s="19"/>
      <c r="H113" s="19"/>
      <c r="J113" s="476"/>
    </row>
    <row r="114" spans="1:20" ht="15.5">
      <c r="A114" s="391"/>
      <c r="B114" s="19"/>
      <c r="D114" s="19"/>
      <c r="E114" s="19"/>
      <c r="F114" s="19"/>
      <c r="G114" s="19"/>
      <c r="H114" s="19"/>
      <c r="J114" s="476"/>
    </row>
    <row r="115" spans="1:20" ht="15.5">
      <c r="A115" s="391"/>
      <c r="B115" s="19"/>
      <c r="D115" s="19"/>
      <c r="E115" s="19"/>
      <c r="F115" s="19"/>
      <c r="G115" s="19"/>
      <c r="H115" s="19"/>
      <c r="J115" s="476"/>
    </row>
    <row r="116" spans="1:20" ht="15.5" hidden="1">
      <c r="A116" s="391"/>
      <c r="B116" s="19"/>
      <c r="D116" s="19"/>
      <c r="E116" s="19"/>
      <c r="F116" s="19"/>
      <c r="G116" s="19"/>
      <c r="H116" s="19"/>
      <c r="J116" s="476"/>
    </row>
    <row r="117" spans="1:20" ht="15.5">
      <c r="A117" s="391"/>
      <c r="B117" s="19"/>
      <c r="D117" s="19"/>
      <c r="E117" s="19"/>
      <c r="F117" s="19"/>
      <c r="G117" s="19"/>
      <c r="H117" s="19"/>
      <c r="J117" s="476"/>
    </row>
    <row r="118" spans="1:20" ht="15.5">
      <c r="A118" s="391"/>
      <c r="B118" s="19"/>
      <c r="C118" s="19"/>
      <c r="D118" s="19"/>
      <c r="E118" s="19"/>
      <c r="F118" s="19"/>
      <c r="G118" s="19"/>
      <c r="H118" s="19"/>
      <c r="J118" s="476"/>
    </row>
    <row r="119" spans="1:20" ht="15.5">
      <c r="A119" s="391"/>
      <c r="B119" s="240" t="s">
        <v>111</v>
      </c>
      <c r="C119" s="240"/>
      <c r="D119" s="19"/>
      <c r="E119" s="19"/>
      <c r="F119" s="19"/>
      <c r="G119" s="19"/>
      <c r="H119" s="19"/>
      <c r="J119" s="476"/>
    </row>
    <row r="120" spans="1:20" ht="15.5">
      <c r="A120" s="391"/>
      <c r="B120" s="19"/>
      <c r="C120" s="19"/>
      <c r="D120" s="19"/>
      <c r="E120" s="19"/>
      <c r="F120" s="19"/>
      <c r="G120" s="19"/>
      <c r="H120" s="19"/>
      <c r="J120" s="476"/>
    </row>
    <row r="121" spans="1:20" ht="15.5">
      <c r="A121" s="391"/>
      <c r="B121" s="19" t="s">
        <v>112</v>
      </c>
      <c r="C121" s="19"/>
      <c r="E121" s="19"/>
      <c r="F121" s="19"/>
      <c r="G121" s="19"/>
      <c r="H121" s="19"/>
      <c r="J121" s="476"/>
      <c r="M121" s="19"/>
    </row>
    <row r="122" spans="1:20" ht="15.5">
      <c r="A122" s="391"/>
      <c r="B122" s="21" t="str">
        <f>D7</f>
        <v>Mr.SHAFEEK N N</v>
      </c>
      <c r="F122" s="19"/>
      <c r="G122" s="19"/>
      <c r="H122" s="19"/>
      <c r="J122" s="476"/>
      <c r="K122" s="19"/>
    </row>
    <row r="123" spans="1:20" ht="15.5">
      <c r="A123" s="391"/>
      <c r="B123" s="992" t="str">
        <f>'DATA INPUT '!C17</f>
        <v>S/o.</v>
      </c>
      <c r="C123" s="992"/>
      <c r="D123" s="19" t="str">
        <f>'PROJECT REPORT '!H18</f>
        <v>M MOIDEEN</v>
      </c>
      <c r="E123" s="19"/>
      <c r="F123" s="19"/>
      <c r="G123" s="19"/>
      <c r="H123" s="19"/>
      <c r="J123" s="476"/>
      <c r="K123" s="19"/>
    </row>
    <row r="124" spans="1:20" ht="15.5">
      <c r="A124" s="391"/>
      <c r="B124" s="992" t="s">
        <v>113</v>
      </c>
      <c r="C124" s="992"/>
      <c r="D124" s="19" t="str">
        <f>'DATA INPUT '!C19</f>
        <v>BAITHUL SHAMNA HOUSE</v>
      </c>
      <c r="E124" s="19"/>
      <c r="F124" s="19"/>
      <c r="G124" s="19"/>
      <c r="H124" s="19"/>
      <c r="J124" s="476"/>
    </row>
    <row r="125" spans="1:20" ht="15.5">
      <c r="A125" s="391"/>
      <c r="B125" s="992" t="s">
        <v>114</v>
      </c>
      <c r="C125" s="992"/>
      <c r="D125" s="19" t="str">
        <f>'DATA INPUT '!C21</f>
        <v>NILESHWAR</v>
      </c>
      <c r="E125" s="19"/>
      <c r="F125" s="19"/>
      <c r="G125" s="19"/>
      <c r="H125" s="19"/>
      <c r="J125" s="476"/>
    </row>
    <row r="126" spans="1:20" ht="15" customHeight="1">
      <c r="A126" s="391"/>
      <c r="B126" s="992" t="s">
        <v>115</v>
      </c>
      <c r="C126" s="992"/>
      <c r="D126" s="19" t="str">
        <f>'DATA INPUT '!C25</f>
        <v>KASARAGOD</v>
      </c>
      <c r="E126" s="19"/>
      <c r="F126" s="19">
        <f>'DATA INPUT '!C27</f>
        <v>671314</v>
      </c>
      <c r="G126" s="19"/>
      <c r="H126" s="19"/>
      <c r="J126" s="476"/>
      <c r="L126" s="120"/>
      <c r="N126" s="19"/>
      <c r="O126" s="19"/>
      <c r="P126" s="19"/>
      <c r="Q126" s="19"/>
      <c r="R126" s="19"/>
    </row>
    <row r="127" spans="1:20" ht="15.5">
      <c r="A127" s="391"/>
      <c r="B127" s="120" t="str">
        <f>'PROJECT REPORT '!R12</f>
        <v>He</v>
      </c>
      <c r="C127" s="19" t="s">
        <v>116</v>
      </c>
      <c r="D127" s="19"/>
      <c r="E127" s="19"/>
      <c r="F127" s="19"/>
      <c r="G127" s="19"/>
      <c r="H127" s="19"/>
      <c r="J127" s="476"/>
      <c r="L127" s="120"/>
      <c r="N127" s="19"/>
      <c r="O127" s="19"/>
      <c r="P127" s="19"/>
      <c r="Q127" s="19"/>
      <c r="R127" s="19"/>
    </row>
    <row r="128" spans="1:20" ht="15.5">
      <c r="A128" s="391"/>
      <c r="B128" s="7">
        <f>'DATA INPUT '!C34</f>
        <v>12</v>
      </c>
      <c r="C128" s="19" t="s">
        <v>117</v>
      </c>
      <c r="D128" s="180"/>
      <c r="E128" s="180"/>
      <c r="F128" s="180"/>
      <c r="G128" s="180"/>
      <c r="H128" s="180"/>
      <c r="I128" s="151"/>
      <c r="J128" s="911"/>
      <c r="M128" s="993" t="s">
        <v>118</v>
      </c>
      <c r="N128" s="993"/>
      <c r="O128" s="993"/>
      <c r="P128" s="993"/>
      <c r="Q128" s="993"/>
      <c r="R128" s="993"/>
      <c r="S128" s="993"/>
      <c r="T128" s="993"/>
    </row>
    <row r="129" spans="1:15" ht="15.5">
      <c r="A129" s="391"/>
      <c r="B129" s="19" t="s">
        <v>119</v>
      </c>
      <c r="C129" s="180"/>
      <c r="D129" s="180"/>
      <c r="E129" s="180"/>
      <c r="F129" s="180"/>
      <c r="G129" s="180"/>
      <c r="H129" s="180"/>
      <c r="I129" s="151"/>
      <c r="J129" s="911"/>
    </row>
    <row r="130" spans="1:15" ht="15" customHeight="1">
      <c r="A130" s="391"/>
      <c r="B130" s="19" t="s">
        <v>120</v>
      </c>
      <c r="C130" s="180"/>
      <c r="D130" s="180"/>
      <c r="E130" s="180"/>
      <c r="F130" s="180"/>
      <c r="G130" s="180"/>
      <c r="H130" s="180"/>
      <c r="I130" s="151"/>
      <c r="J130" s="911"/>
      <c r="L130" s="19"/>
    </row>
    <row r="131" spans="1:15" ht="15.5">
      <c r="A131" s="391"/>
      <c r="B131" s="19" t="s">
        <v>121</v>
      </c>
      <c r="C131" s="180"/>
      <c r="D131" s="180"/>
      <c r="E131" s="180"/>
      <c r="F131" s="180"/>
      <c r="G131" s="180"/>
      <c r="H131" s="180"/>
      <c r="I131" s="151"/>
      <c r="J131" s="911"/>
    </row>
    <row r="132" spans="1:15" ht="15.5">
      <c r="A132" s="391"/>
      <c r="B132" s="19" t="s">
        <v>122</v>
      </c>
      <c r="C132" s="180"/>
      <c r="D132" s="180"/>
      <c r="E132" s="180"/>
      <c r="F132" s="180"/>
      <c r="G132" s="180"/>
      <c r="H132" s="180"/>
      <c r="I132" s="151"/>
      <c r="J132" s="911"/>
    </row>
    <row r="133" spans="1:15" ht="15.5">
      <c r="A133" s="391"/>
      <c r="B133" s="19" t="s">
        <v>123</v>
      </c>
      <c r="C133" s="180"/>
      <c r="D133" s="180"/>
      <c r="E133" s="180"/>
      <c r="F133" s="180"/>
      <c r="G133" s="180"/>
      <c r="H133" s="180"/>
      <c r="I133" s="151"/>
      <c r="J133" s="911"/>
    </row>
    <row r="134" spans="1:15" ht="15.5">
      <c r="A134" s="391"/>
      <c r="B134" s="19" t="s">
        <v>124</v>
      </c>
      <c r="C134" s="180"/>
      <c r="D134" s="180"/>
      <c r="E134" s="180"/>
      <c r="F134" s="180"/>
      <c r="G134" s="180"/>
      <c r="H134" s="180"/>
      <c r="I134" s="151"/>
      <c r="J134" s="911"/>
    </row>
    <row r="135" spans="1:15" ht="15.5" hidden="1">
      <c r="A135" s="391"/>
      <c r="B135" s="19"/>
      <c r="C135" s="180"/>
      <c r="D135" s="180"/>
      <c r="E135" s="180"/>
      <c r="F135" s="180"/>
      <c r="G135" s="180"/>
      <c r="H135" s="180"/>
      <c r="I135" s="151"/>
      <c r="J135" s="911"/>
    </row>
    <row r="136" spans="1:15" ht="15.5" hidden="1">
      <c r="A136" s="391"/>
      <c r="B136" s="19"/>
      <c r="C136" s="180"/>
      <c r="D136" s="180"/>
      <c r="E136" s="180"/>
      <c r="F136" s="180"/>
      <c r="G136" s="180"/>
      <c r="H136" s="180"/>
      <c r="I136" s="151"/>
      <c r="J136" s="911"/>
    </row>
    <row r="137" spans="1:15" ht="15.5" hidden="1">
      <c r="A137" s="391"/>
      <c r="B137" s="19"/>
      <c r="C137" s="180"/>
      <c r="D137" s="180"/>
      <c r="E137" s="180"/>
      <c r="F137" s="180"/>
      <c r="G137" s="180"/>
      <c r="H137" s="180"/>
      <c r="I137" s="151"/>
      <c r="J137" s="911"/>
    </row>
    <row r="138" spans="1:15" ht="15.5" hidden="1">
      <c r="A138" s="391"/>
      <c r="B138" s="19"/>
      <c r="C138" s="19"/>
      <c r="D138" s="19"/>
      <c r="E138" s="19"/>
      <c r="F138" s="19"/>
      <c r="G138" s="19"/>
      <c r="H138" s="19"/>
      <c r="J138" s="476"/>
    </row>
    <row r="139" spans="1:15" ht="15.5">
      <c r="A139" s="391"/>
      <c r="B139" s="19"/>
      <c r="C139" s="19"/>
      <c r="D139" s="19"/>
      <c r="E139" s="19"/>
      <c r="F139" s="19"/>
      <c r="G139" s="19"/>
      <c r="H139" s="19"/>
      <c r="J139" s="476"/>
    </row>
    <row r="140" spans="1:15" ht="15.5">
      <c r="A140" s="382"/>
      <c r="B140" s="584"/>
      <c r="C140" s="584"/>
      <c r="D140" s="584"/>
      <c r="E140" s="584"/>
      <c r="F140" s="584"/>
      <c r="G140" s="584"/>
      <c r="H140" s="584"/>
      <c r="I140" s="383"/>
      <c r="J140" s="600"/>
    </row>
    <row r="141" spans="1:15" ht="15.5">
      <c r="B141" s="19"/>
      <c r="C141" s="19"/>
      <c r="D141" s="19"/>
      <c r="E141" s="19"/>
      <c r="F141" s="19"/>
      <c r="G141" s="19"/>
      <c r="H141" s="19"/>
    </row>
    <row r="142" spans="1:15" ht="15.5">
      <c r="B142" s="19"/>
      <c r="C142" s="19"/>
      <c r="D142" s="19"/>
      <c r="E142" s="19"/>
      <c r="F142" s="19"/>
      <c r="G142" s="19"/>
      <c r="H142" s="19"/>
    </row>
    <row r="143" spans="1:15" ht="15.5">
      <c r="A143" s="387"/>
      <c r="B143" s="587"/>
      <c r="C143" s="587"/>
      <c r="D143" s="587"/>
      <c r="E143" s="587"/>
      <c r="F143" s="587"/>
      <c r="G143" s="587"/>
      <c r="H143" s="587"/>
      <c r="I143" s="388"/>
      <c r="J143" s="472"/>
      <c r="O143" t="s">
        <v>125</v>
      </c>
    </row>
    <row r="144" spans="1:15" ht="15.5">
      <c r="A144" s="391"/>
      <c r="B144" s="19"/>
      <c r="C144" s="19"/>
      <c r="D144" s="19"/>
      <c r="E144" s="19"/>
      <c r="F144" s="19"/>
      <c r="G144" s="19"/>
      <c r="H144" s="19"/>
      <c r="J144" s="476"/>
    </row>
    <row r="145" spans="1:12" ht="15.5">
      <c r="A145" s="391"/>
      <c r="B145" s="240" t="s">
        <v>126</v>
      </c>
      <c r="C145" s="19"/>
      <c r="D145" s="19"/>
      <c r="E145" s="19"/>
      <c r="F145" s="19"/>
      <c r="G145" s="19"/>
      <c r="H145" s="19"/>
      <c r="J145" s="476"/>
    </row>
    <row r="146" spans="1:12" ht="15.5">
      <c r="A146" s="391"/>
      <c r="B146" s="240"/>
      <c r="C146" s="19"/>
      <c r="D146" s="19"/>
      <c r="E146" s="19"/>
      <c r="F146" s="19"/>
      <c r="G146" s="19"/>
      <c r="H146" s="19"/>
      <c r="J146" s="476"/>
    </row>
    <row r="147" spans="1:12" ht="15.5">
      <c r="A147" s="391"/>
      <c r="B147" s="19" t="s">
        <v>127</v>
      </c>
      <c r="C147" s="19"/>
      <c r="D147" s="19"/>
      <c r="E147" s="19"/>
      <c r="F147" s="19"/>
      <c r="G147" s="19"/>
      <c r="H147" s="19"/>
      <c r="J147" s="476"/>
    </row>
    <row r="148" spans="1:12" ht="15.5">
      <c r="A148" s="391"/>
      <c r="E148" s="912" t="s">
        <v>128</v>
      </c>
      <c r="F148" s="19"/>
      <c r="G148" s="19"/>
      <c r="H148" s="19"/>
      <c r="J148" s="476"/>
    </row>
    <row r="149" spans="1:12" ht="15.5">
      <c r="A149" s="391"/>
      <c r="D149" s="913" t="s">
        <v>129</v>
      </c>
      <c r="E149" s="5" t="str">
        <f>'DATA INPUT '!C4</f>
        <v>W-III/1022</v>
      </c>
      <c r="F149" s="19"/>
      <c r="G149" s="19"/>
      <c r="H149" s="19"/>
      <c r="J149" s="476"/>
    </row>
    <row r="150" spans="1:12" ht="15.5">
      <c r="A150" s="391"/>
      <c r="E150" s="7" t="str">
        <f>'DATA INPUT '!C3</f>
        <v>NEAR POST OFFICE, NILESHWAR</v>
      </c>
      <c r="F150" s="19"/>
      <c r="G150" s="19"/>
      <c r="H150" s="19"/>
      <c r="J150" s="476"/>
    </row>
    <row r="151" spans="1:12" ht="15.5">
      <c r="A151" s="391"/>
      <c r="E151" s="7" t="str">
        <f>'DATA INPUT '!C8</f>
        <v>NILESHWAR</v>
      </c>
      <c r="F151" s="19"/>
      <c r="G151" s="19"/>
      <c r="H151" s="19"/>
      <c r="J151" s="476"/>
    </row>
    <row r="152" spans="1:12" ht="15.5">
      <c r="A152" s="391"/>
      <c r="E152" s="120" t="str">
        <f>'PROJECT REPORT '!H13</f>
        <v>HOSDURG</v>
      </c>
      <c r="F152" s="19" t="s">
        <v>130</v>
      </c>
      <c r="G152" s="19"/>
      <c r="H152" s="19"/>
      <c r="J152" s="476"/>
    </row>
    <row r="153" spans="1:12" ht="15.5">
      <c r="A153" s="391"/>
      <c r="E153" s="120" t="str">
        <f>'PROJECT REPORT '!H14</f>
        <v>KASARAGOD</v>
      </c>
      <c r="F153" s="19" t="s">
        <v>115</v>
      </c>
      <c r="G153" s="989">
        <f>'DATA INPUT '!C13</f>
        <v>671314</v>
      </c>
      <c r="H153" s="989"/>
      <c r="J153" s="476"/>
    </row>
    <row r="154" spans="1:12" ht="15.5">
      <c r="A154" s="391"/>
      <c r="B154" s="19" t="s">
        <v>131</v>
      </c>
      <c r="C154" s="19"/>
      <c r="D154" s="19"/>
      <c r="E154" s="19"/>
      <c r="F154" s="19"/>
      <c r="G154" s="19"/>
      <c r="H154" s="19"/>
      <c r="J154" s="476"/>
    </row>
    <row r="155" spans="1:12" ht="15.5">
      <c r="A155" s="391"/>
      <c r="B155" s="19" t="s">
        <v>132</v>
      </c>
      <c r="C155" s="19"/>
      <c r="D155" s="19"/>
      <c r="E155" s="19"/>
      <c r="F155" s="19"/>
      <c r="G155" s="19"/>
      <c r="H155" s="19"/>
      <c r="J155" s="476"/>
    </row>
    <row r="156" spans="1:12" ht="15.5">
      <c r="A156" s="391"/>
      <c r="B156" s="19"/>
      <c r="C156" s="19"/>
      <c r="D156" s="19"/>
      <c r="E156" s="19"/>
      <c r="F156" s="19"/>
      <c r="G156" s="19"/>
      <c r="H156" s="19"/>
      <c r="J156" s="476"/>
    </row>
    <row r="157" spans="1:12" ht="18" customHeight="1">
      <c r="A157" s="391"/>
      <c r="B157" s="19"/>
      <c r="C157" s="19"/>
      <c r="D157" s="19"/>
      <c r="E157" s="19"/>
      <c r="F157" s="19"/>
      <c r="G157" s="19"/>
      <c r="H157" s="19"/>
      <c r="J157" s="476"/>
      <c r="L157" s="19"/>
    </row>
    <row r="158" spans="1:12" ht="15.5">
      <c r="A158" s="391"/>
      <c r="B158" s="240" t="s">
        <v>133</v>
      </c>
      <c r="C158" s="240"/>
      <c r="D158" s="240"/>
      <c r="E158" s="19"/>
      <c r="F158" s="19"/>
      <c r="G158" s="19"/>
      <c r="H158" s="19"/>
      <c r="J158" s="476"/>
    </row>
    <row r="159" spans="1:12" ht="15.5">
      <c r="A159" s="391"/>
      <c r="B159" s="19"/>
      <c r="C159" s="19"/>
      <c r="D159" s="19"/>
      <c r="E159" s="19"/>
      <c r="F159" s="19"/>
      <c r="G159" s="19"/>
      <c r="H159" s="19"/>
      <c r="J159" s="476"/>
    </row>
    <row r="160" spans="1:12" ht="15.5">
      <c r="A160" s="391"/>
      <c r="B160" s="19" t="s">
        <v>134</v>
      </c>
      <c r="C160" s="653"/>
      <c r="D160" s="19"/>
      <c r="E160" s="19"/>
      <c r="F160" s="19"/>
      <c r="G160" s="19"/>
      <c r="H160" s="19"/>
      <c r="I160" s="19"/>
      <c r="J160" s="476"/>
    </row>
    <row r="161" spans="1:10" ht="15.5">
      <c r="A161" s="391"/>
      <c r="B161" s="19" t="s">
        <v>135</v>
      </c>
      <c r="C161" s="19"/>
      <c r="D161" s="19"/>
      <c r="E161" s="19"/>
      <c r="F161" s="19"/>
      <c r="G161" s="19"/>
      <c r="H161" s="19"/>
      <c r="I161" s="19"/>
      <c r="J161" s="548"/>
    </row>
    <row r="162" spans="1:10" ht="15.5">
      <c r="A162" s="391"/>
      <c r="B162" s="19" t="s">
        <v>136</v>
      </c>
      <c r="C162" s="19"/>
      <c r="D162" s="19"/>
      <c r="E162" s="19"/>
      <c r="F162" s="19"/>
      <c r="G162" s="19"/>
      <c r="H162" s="19"/>
      <c r="I162" s="19"/>
      <c r="J162" s="548"/>
    </row>
    <row r="163" spans="1:10" ht="15.5">
      <c r="A163" s="391"/>
      <c r="B163" s="19" t="s">
        <v>137</v>
      </c>
      <c r="C163" s="19"/>
      <c r="D163" s="19"/>
      <c r="E163" s="19"/>
      <c r="F163" s="19"/>
      <c r="G163" s="19"/>
      <c r="H163" s="19"/>
      <c r="I163" s="19"/>
      <c r="J163" s="548"/>
    </row>
    <row r="164" spans="1:10" ht="15.5">
      <c r="A164" s="391"/>
      <c r="B164" s="19" t="s">
        <v>138</v>
      </c>
      <c r="C164" s="19"/>
      <c r="D164" s="19"/>
      <c r="E164" s="19"/>
      <c r="F164" s="19"/>
      <c r="G164" s="19"/>
      <c r="H164" s="19"/>
      <c r="I164" s="19"/>
      <c r="J164" s="548"/>
    </row>
    <row r="165" spans="1:10" ht="15.5">
      <c r="A165" s="391"/>
      <c r="B165" s="19" t="s">
        <v>139</v>
      </c>
      <c r="C165" s="19"/>
      <c r="D165" s="19"/>
      <c r="E165" s="19"/>
      <c r="F165" s="19"/>
      <c r="G165" s="19"/>
      <c r="H165" s="19"/>
      <c r="I165" s="19"/>
      <c r="J165" s="548"/>
    </row>
    <row r="166" spans="1:10" ht="15.5">
      <c r="A166" s="391"/>
      <c r="B166" s="19" t="s">
        <v>140</v>
      </c>
      <c r="C166" s="19"/>
      <c r="D166" s="19"/>
      <c r="E166" s="19"/>
      <c r="F166" s="19"/>
      <c r="G166" s="19"/>
      <c r="H166" s="19"/>
      <c r="I166" s="19"/>
      <c r="J166" s="548"/>
    </row>
    <row r="167" spans="1:10" ht="15.5">
      <c r="A167" s="391"/>
      <c r="B167" s="19" t="s">
        <v>141</v>
      </c>
      <c r="C167" s="19"/>
      <c r="D167" s="19"/>
      <c r="E167" s="19"/>
      <c r="F167" s="19"/>
      <c r="G167" s="19"/>
      <c r="H167" s="19"/>
      <c r="I167" s="19"/>
      <c r="J167" s="548"/>
    </row>
    <row r="168" spans="1:10" ht="15.5">
      <c r="A168" s="391"/>
      <c r="B168" s="19" t="s">
        <v>142</v>
      </c>
      <c r="C168" s="19"/>
      <c r="D168" s="19"/>
      <c r="E168" s="19"/>
      <c r="F168" s="19"/>
      <c r="G168" s="19"/>
      <c r="H168" s="19"/>
      <c r="I168" s="19"/>
      <c r="J168" s="548"/>
    </row>
    <row r="169" spans="1:10" ht="15.5">
      <c r="A169" s="391"/>
      <c r="B169" s="19" t="s">
        <v>143</v>
      </c>
      <c r="C169" s="19"/>
      <c r="D169" s="19"/>
      <c r="E169" s="19"/>
      <c r="F169" s="19"/>
      <c r="G169" s="19"/>
      <c r="H169" s="19"/>
      <c r="I169" s="19"/>
      <c r="J169" s="548"/>
    </row>
    <row r="170" spans="1:10" ht="15.5">
      <c r="A170" s="391"/>
      <c r="B170" s="19" t="s">
        <v>144</v>
      </c>
      <c r="C170" s="19"/>
      <c r="D170" s="19"/>
      <c r="E170" s="19"/>
      <c r="F170" s="19"/>
      <c r="G170" s="19"/>
      <c r="H170" s="19"/>
      <c r="I170" s="19"/>
      <c r="J170" s="548"/>
    </row>
    <row r="171" spans="1:10" ht="15.5" hidden="1">
      <c r="A171" s="391"/>
      <c r="B171" s="19"/>
      <c r="C171" s="19"/>
      <c r="D171" s="19"/>
      <c r="E171" s="19"/>
      <c r="F171" s="19"/>
      <c r="G171" s="19"/>
      <c r="H171" s="19"/>
      <c r="I171" s="19"/>
      <c r="J171" s="548"/>
    </row>
    <row r="172" spans="1:10" ht="15.5" hidden="1">
      <c r="A172" s="391"/>
      <c r="B172" s="19"/>
      <c r="C172" s="19"/>
      <c r="D172" s="19"/>
      <c r="E172" s="19"/>
      <c r="F172" s="19"/>
      <c r="G172" s="19"/>
      <c r="H172" s="19"/>
      <c r="I172" s="19"/>
      <c r="J172" s="548"/>
    </row>
    <row r="173" spans="1:10" ht="15.5" hidden="1">
      <c r="A173" s="391"/>
      <c r="B173" s="19"/>
      <c r="C173" s="19"/>
      <c r="D173" s="19"/>
      <c r="E173" s="19"/>
      <c r="F173" s="19"/>
      <c r="G173" s="19"/>
      <c r="H173" s="19"/>
      <c r="I173" s="19"/>
      <c r="J173" s="548"/>
    </row>
    <row r="174" spans="1:10" ht="15.5" hidden="1">
      <c r="A174" s="391"/>
      <c r="B174" s="19"/>
      <c r="C174" s="19"/>
      <c r="D174" s="19"/>
      <c r="E174" s="19"/>
      <c r="F174" s="19"/>
      <c r="G174" s="19"/>
      <c r="H174" s="19"/>
      <c r="I174" s="19"/>
      <c r="J174" s="548"/>
    </row>
    <row r="175" spans="1:10" ht="15.5" hidden="1">
      <c r="A175" s="391"/>
      <c r="B175" s="19"/>
      <c r="C175" s="19"/>
      <c r="D175" s="19"/>
      <c r="E175" s="19"/>
      <c r="F175" s="19"/>
      <c r="G175" s="19"/>
      <c r="H175" s="19"/>
      <c r="I175" s="19"/>
      <c r="J175" s="548"/>
    </row>
    <row r="176" spans="1:10" ht="15.5" hidden="1">
      <c r="A176" s="391"/>
      <c r="B176" s="19"/>
      <c r="C176" s="19"/>
      <c r="D176" s="19"/>
      <c r="E176" s="19"/>
      <c r="F176" s="19"/>
      <c r="G176" s="19"/>
      <c r="H176" s="19"/>
      <c r="I176" s="19"/>
      <c r="J176" s="548"/>
    </row>
    <row r="177" spans="1:10" ht="15.5">
      <c r="A177" s="391"/>
      <c r="B177" s="19"/>
      <c r="C177" s="19"/>
      <c r="D177" s="19"/>
      <c r="E177" s="19"/>
      <c r="F177" s="19"/>
      <c r="G177" s="19"/>
      <c r="H177" s="19"/>
      <c r="I177" s="19"/>
      <c r="J177" s="548"/>
    </row>
    <row r="178" spans="1:10" ht="15.5">
      <c r="A178" s="391"/>
      <c r="B178" s="914" t="s">
        <v>145</v>
      </c>
      <c r="C178" s="19"/>
      <c r="D178" s="19"/>
      <c r="E178" s="19"/>
      <c r="F178" s="19"/>
      <c r="G178" s="19"/>
      <c r="H178" s="19"/>
      <c r="I178" s="19"/>
      <c r="J178" s="548"/>
    </row>
    <row r="179" spans="1:10" ht="15.5">
      <c r="A179" s="391"/>
      <c r="C179" s="19"/>
      <c r="D179" s="19"/>
      <c r="E179" s="19"/>
      <c r="F179" s="19"/>
      <c r="G179" s="19"/>
      <c r="H179" s="19"/>
      <c r="I179" s="19"/>
      <c r="J179" s="548"/>
    </row>
    <row r="180" spans="1:10" ht="15.5">
      <c r="A180" s="391"/>
      <c r="B180" s="497" t="s">
        <v>74</v>
      </c>
      <c r="C180" s="497"/>
      <c r="D180" s="497"/>
      <c r="E180" s="497"/>
      <c r="F180" s="497"/>
      <c r="G180" s="497"/>
      <c r="H180" s="497"/>
      <c r="I180" s="497"/>
      <c r="J180" s="548"/>
    </row>
    <row r="181" spans="1:10" ht="15.5">
      <c r="A181" s="391"/>
      <c r="B181" s="497" t="s">
        <v>146</v>
      </c>
      <c r="C181" s="915"/>
      <c r="D181" s="915"/>
      <c r="E181" s="335"/>
      <c r="F181" s="335"/>
      <c r="G181" s="335"/>
      <c r="H181" s="335"/>
      <c r="I181" s="335"/>
      <c r="J181" s="476"/>
    </row>
    <row r="182" spans="1:10" ht="15.5">
      <c r="A182" s="391"/>
      <c r="B182" s="497" t="s">
        <v>147</v>
      </c>
      <c r="C182" s="497"/>
      <c r="D182" s="497"/>
      <c r="E182" s="335"/>
      <c r="F182" s="335"/>
      <c r="G182" s="335"/>
      <c r="H182" s="335"/>
      <c r="I182" s="335"/>
      <c r="J182" s="476"/>
    </row>
    <row r="183" spans="1:10" ht="15.5">
      <c r="A183" s="391"/>
      <c r="B183" s="497" t="s">
        <v>77</v>
      </c>
      <c r="C183" s="916"/>
      <c r="D183" s="916"/>
      <c r="E183" s="917"/>
      <c r="F183" s="917"/>
      <c r="G183" s="917"/>
      <c r="H183" s="917"/>
      <c r="I183" s="917"/>
      <c r="J183" s="911"/>
    </row>
    <row r="184" spans="1:10" ht="15.5">
      <c r="A184" s="391"/>
      <c r="B184" s="497" t="s">
        <v>148</v>
      </c>
      <c r="C184" s="916"/>
      <c r="D184" s="916"/>
      <c r="E184" s="917"/>
      <c r="F184" s="917"/>
      <c r="G184" s="917"/>
      <c r="H184" s="917"/>
      <c r="I184" s="917"/>
      <c r="J184" s="911"/>
    </row>
    <row r="185" spans="1:10" ht="15.5">
      <c r="A185" s="391"/>
      <c r="B185" s="497" t="s">
        <v>149</v>
      </c>
      <c r="C185" s="497"/>
      <c r="D185" s="497"/>
      <c r="E185" s="335"/>
      <c r="F185" s="335"/>
      <c r="G185" s="335"/>
      <c r="H185" s="335"/>
      <c r="I185" s="335"/>
      <c r="J185" s="476"/>
    </row>
    <row r="186" spans="1:10" ht="15.5">
      <c r="A186" s="391"/>
      <c r="B186" s="497" t="s">
        <v>150</v>
      </c>
      <c r="C186" s="497"/>
      <c r="D186" s="497"/>
      <c r="E186" s="335"/>
      <c r="F186" s="335"/>
      <c r="G186" s="335"/>
      <c r="H186" s="335"/>
      <c r="I186" s="335"/>
      <c r="J186" s="476"/>
    </row>
    <row r="187" spans="1:10" ht="15.5">
      <c r="A187" s="391"/>
      <c r="B187" s="497" t="s">
        <v>151</v>
      </c>
      <c r="C187" s="497"/>
      <c r="D187" s="497"/>
      <c r="E187" s="335"/>
      <c r="F187" s="335"/>
      <c r="G187" s="335"/>
      <c r="H187" s="335"/>
      <c r="I187" s="335"/>
      <c r="J187" s="476"/>
    </row>
    <row r="188" spans="1:10" ht="14.5">
      <c r="A188" s="391"/>
      <c r="B188" s="653"/>
      <c r="C188" s="653"/>
      <c r="J188" s="476"/>
    </row>
    <row r="189" spans="1:10" ht="14.5" hidden="1">
      <c r="A189" s="391"/>
      <c r="B189" s="653"/>
      <c r="C189" s="653"/>
      <c r="J189" s="476"/>
    </row>
    <row r="190" spans="1:10" ht="14.5" hidden="1">
      <c r="A190" s="391"/>
      <c r="B190" s="653"/>
      <c r="C190" s="653"/>
      <c r="J190" s="476"/>
    </row>
    <row r="191" spans="1:10" ht="14.5" hidden="1">
      <c r="A191" s="391"/>
      <c r="B191" s="653"/>
      <c r="C191" s="653"/>
      <c r="J191" s="476"/>
    </row>
    <row r="192" spans="1:10" ht="14.5" hidden="1">
      <c r="A192" s="391"/>
      <c r="B192" s="653"/>
      <c r="C192" s="653"/>
      <c r="J192" s="476"/>
    </row>
    <row r="193" spans="1:10" ht="14.5" hidden="1">
      <c r="A193" s="391"/>
      <c r="B193" s="653"/>
      <c r="C193" s="653"/>
      <c r="J193" s="476"/>
    </row>
    <row r="194" spans="1:10" ht="14.5">
      <c r="A194" s="391"/>
      <c r="B194" s="653"/>
      <c r="C194" s="653"/>
      <c r="J194" s="476"/>
    </row>
    <row r="195" spans="1:10" ht="14.5">
      <c r="A195" s="382"/>
      <c r="B195" s="918"/>
      <c r="C195" s="918"/>
      <c r="D195" s="383"/>
      <c r="E195" s="383"/>
      <c r="F195" s="383"/>
      <c r="G195" s="383"/>
      <c r="H195" s="383"/>
      <c r="I195" s="383"/>
      <c r="J195" s="600"/>
    </row>
    <row r="196" spans="1:10" ht="18.75" customHeight="1">
      <c r="A196" s="388"/>
      <c r="B196" s="919"/>
      <c r="C196" s="919"/>
      <c r="D196" s="388"/>
      <c r="E196" s="388"/>
      <c r="F196" s="388"/>
      <c r="G196" s="388"/>
      <c r="H196" s="388"/>
      <c r="I196" s="388"/>
      <c r="J196" s="388"/>
    </row>
    <row r="197" spans="1:10" ht="14.5">
      <c r="A197" s="383"/>
      <c r="B197" s="918"/>
      <c r="C197" s="918"/>
      <c r="D197" s="383"/>
      <c r="E197" s="383"/>
      <c r="F197" s="383"/>
      <c r="G197" s="383"/>
      <c r="H197" s="383"/>
      <c r="I197" s="383"/>
      <c r="J197" s="383"/>
    </row>
    <row r="198" spans="1:10" ht="14.5">
      <c r="A198" s="391"/>
      <c r="B198" s="653"/>
      <c r="C198" s="653"/>
      <c r="J198" s="476"/>
    </row>
    <row r="199" spans="1:10" ht="15.5">
      <c r="A199" s="391"/>
      <c r="B199" s="240" t="s">
        <v>152</v>
      </c>
      <c r="J199" s="476"/>
    </row>
    <row r="200" spans="1:10">
      <c r="A200" s="391"/>
      <c r="J200" s="476"/>
    </row>
    <row r="201" spans="1:10" ht="15.5">
      <c r="A201" s="391"/>
      <c r="B201" s="19"/>
      <c r="J201" s="476"/>
    </row>
    <row r="202" spans="1:10" ht="15.5">
      <c r="A202" s="391"/>
      <c r="B202" s="19" t="s">
        <v>153</v>
      </c>
      <c r="J202" s="476"/>
    </row>
    <row r="203" spans="1:10" ht="15.5">
      <c r="A203" s="391"/>
      <c r="B203" s="19" t="s">
        <v>154</v>
      </c>
      <c r="J203" s="476"/>
    </row>
    <row r="204" spans="1:10" ht="15.5">
      <c r="A204" s="391"/>
      <c r="B204" s="19" t="s">
        <v>155</v>
      </c>
      <c r="J204" s="476"/>
    </row>
    <row r="205" spans="1:10" ht="15.5">
      <c r="A205" s="391"/>
      <c r="B205" s="19" t="s">
        <v>156</v>
      </c>
      <c r="J205" s="476"/>
    </row>
    <row r="206" spans="1:10" ht="15.5">
      <c r="A206" s="391"/>
      <c r="B206" s="19"/>
      <c r="J206" s="476"/>
    </row>
    <row r="207" spans="1:10">
      <c r="A207" s="391"/>
      <c r="J207" s="476"/>
    </row>
    <row r="208" spans="1:10">
      <c r="A208" s="391"/>
      <c r="J208" s="476"/>
    </row>
    <row r="209" spans="1:10">
      <c r="A209" s="391"/>
      <c r="J209" s="476"/>
    </row>
    <row r="210" spans="1:10" ht="15.5">
      <c r="A210" s="391"/>
      <c r="B210" s="240" t="s">
        <v>157</v>
      </c>
      <c r="C210" s="240"/>
      <c r="J210" s="476"/>
    </row>
    <row r="211" spans="1:10" ht="15.5">
      <c r="A211" s="391"/>
      <c r="B211" s="920"/>
      <c r="C211" s="19"/>
      <c r="D211" s="335"/>
      <c r="J211" s="476"/>
    </row>
    <row r="212" spans="1:10" ht="15.5">
      <c r="A212" s="391"/>
      <c r="B212" s="19" t="s">
        <v>158</v>
      </c>
      <c r="C212" s="19"/>
      <c r="D212" s="335"/>
      <c r="J212" s="476"/>
    </row>
    <row r="213" spans="1:10" ht="15.5">
      <c r="A213" s="391"/>
      <c r="B213" s="19" t="s">
        <v>159</v>
      </c>
      <c r="C213" s="19"/>
      <c r="D213" s="497"/>
      <c r="J213" s="476"/>
    </row>
    <row r="214" spans="1:10" ht="15.5">
      <c r="A214" s="391"/>
      <c r="B214" s="19" t="s">
        <v>160</v>
      </c>
      <c r="C214" s="19"/>
      <c r="D214" s="335"/>
      <c r="J214" s="476"/>
    </row>
    <row r="215" spans="1:10" ht="15.5">
      <c r="A215" s="391"/>
      <c r="B215" s="19" t="s">
        <v>161</v>
      </c>
      <c r="C215" s="19"/>
      <c r="J215" s="476"/>
    </row>
    <row r="216" spans="1:10" ht="15" hidden="1" customHeight="1">
      <c r="A216" s="391"/>
      <c r="B216" s="19" t="s">
        <v>162</v>
      </c>
      <c r="C216" s="19"/>
      <c r="J216" s="476"/>
    </row>
    <row r="217" spans="1:10" s="19" customFormat="1" ht="15" hidden="1" customHeight="1">
      <c r="A217" s="921"/>
      <c r="B217" s="5" t="s">
        <v>163</v>
      </c>
      <c r="D217" s="388"/>
      <c r="J217" s="548"/>
    </row>
    <row r="218" spans="1:10" ht="15.75" hidden="1" customHeight="1">
      <c r="A218" s="382"/>
      <c r="B218" s="19" t="s">
        <v>164</v>
      </c>
      <c r="C218" s="19"/>
      <c r="E218" s="383"/>
      <c r="F218" s="383"/>
      <c r="G218" s="383"/>
      <c r="H218" s="383"/>
      <c r="I218" s="383"/>
      <c r="J218" s="600"/>
    </row>
    <row r="219" spans="1:10" ht="15.75" hidden="1" customHeight="1">
      <c r="B219" s="5" t="s">
        <v>165</v>
      </c>
      <c r="C219" s="19"/>
      <c r="D219" s="922"/>
    </row>
    <row r="220" spans="1:10" ht="15.75" hidden="1" customHeight="1">
      <c r="C220" s="19"/>
      <c r="D220" s="19"/>
    </row>
    <row r="221" spans="1:10" ht="15.75" hidden="1" customHeight="1">
      <c r="A221" s="387"/>
      <c r="B221" s="5"/>
      <c r="C221" s="19"/>
      <c r="D221" s="19"/>
      <c r="E221" s="388"/>
      <c r="F221" s="388"/>
      <c r="G221" s="388"/>
      <c r="H221" s="388"/>
      <c r="I221" s="388"/>
      <c r="J221" s="472"/>
    </row>
    <row r="222" spans="1:10" ht="15.5">
      <c r="A222" s="391"/>
      <c r="B222" s="19"/>
      <c r="C222" s="19"/>
      <c r="D222" s="19"/>
      <c r="J222" s="476"/>
    </row>
    <row r="223" spans="1:10" ht="15.5">
      <c r="A223" s="391"/>
      <c r="B223" s="19"/>
      <c r="C223" s="19"/>
      <c r="D223" s="19"/>
      <c r="J223" s="476"/>
    </row>
    <row r="224" spans="1:10" ht="15.5">
      <c r="A224" s="391"/>
      <c r="B224" s="19"/>
      <c r="C224" s="19"/>
      <c r="D224" s="19"/>
      <c r="E224" s="19"/>
      <c r="F224" s="19"/>
      <c r="G224" s="19"/>
      <c r="H224" s="19"/>
      <c r="I224" s="19"/>
      <c r="J224" s="548"/>
    </row>
    <row r="225" spans="1:12" ht="15.5">
      <c r="A225" s="391"/>
      <c r="B225" s="19"/>
      <c r="C225" s="19"/>
      <c r="D225" s="19"/>
      <c r="E225" s="19"/>
      <c r="F225" s="19"/>
      <c r="G225" s="19"/>
      <c r="H225" s="19"/>
      <c r="I225" s="19"/>
      <c r="J225" s="548"/>
    </row>
    <row r="226" spans="1:12" s="19" customFormat="1" ht="15.5">
      <c r="A226" s="921"/>
      <c r="J226" s="548"/>
    </row>
    <row r="227" spans="1:12" s="19" customFormat="1" ht="15.5">
      <c r="A227" s="921"/>
      <c r="J227" s="548"/>
    </row>
    <row r="228" spans="1:12" s="19" customFormat="1" ht="15.5">
      <c r="A228" s="921"/>
      <c r="J228" s="548"/>
    </row>
    <row r="229" spans="1:12" s="19" customFormat="1" ht="15.5">
      <c r="A229" s="921"/>
      <c r="J229" s="548"/>
    </row>
    <row r="230" spans="1:12" s="19" customFormat="1" ht="15.5">
      <c r="A230" s="921"/>
      <c r="J230" s="548"/>
    </row>
    <row r="231" spans="1:12" s="19" customFormat="1" ht="15.5">
      <c r="A231" s="921"/>
      <c r="J231" s="548"/>
    </row>
    <row r="232" spans="1:12" s="19" customFormat="1" ht="15.5">
      <c r="A232" s="921"/>
      <c r="J232" s="548"/>
    </row>
    <row r="233" spans="1:12" s="19" customFormat="1" ht="15.5">
      <c r="A233" s="921"/>
      <c r="J233" s="548"/>
    </row>
    <row r="234" spans="1:12" s="19" customFormat="1" ht="15.5">
      <c r="A234" s="921"/>
      <c r="J234" s="548"/>
    </row>
    <row r="235" spans="1:12" s="19" customFormat="1" ht="15.5">
      <c r="A235" s="921"/>
      <c r="J235" s="548"/>
    </row>
    <row r="236" spans="1:12" s="19" customFormat="1" ht="15.5">
      <c r="A236" s="921"/>
      <c r="J236" s="548"/>
    </row>
    <row r="237" spans="1:12" s="19" customFormat="1" ht="15.5">
      <c r="A237" s="921"/>
      <c r="J237" s="548"/>
    </row>
    <row r="238" spans="1:12" s="19" customFormat="1" ht="15.5">
      <c r="A238" s="921"/>
      <c r="J238" s="548"/>
    </row>
    <row r="239" spans="1:12" ht="15.5">
      <c r="A239" s="391"/>
      <c r="B239" s="19"/>
      <c r="C239" s="19"/>
      <c r="D239" s="19"/>
      <c r="E239" s="19"/>
      <c r="F239" s="19"/>
      <c r="G239" s="19"/>
      <c r="H239" s="19"/>
      <c r="I239" s="19"/>
      <c r="J239" s="548"/>
      <c r="L239" s="923"/>
    </row>
    <row r="240" spans="1:12" ht="15.5">
      <c r="A240" s="391"/>
      <c r="B240" s="19"/>
      <c r="C240" s="19"/>
      <c r="D240" s="19"/>
      <c r="E240" s="19"/>
      <c r="F240" s="19"/>
      <c r="G240" s="19"/>
      <c r="H240" s="19"/>
      <c r="I240" s="19"/>
      <c r="J240" s="548"/>
    </row>
    <row r="241" spans="1:12" ht="15.5">
      <c r="A241" s="391"/>
      <c r="B241" s="19"/>
      <c r="C241" s="19"/>
      <c r="D241" s="19"/>
      <c r="E241" s="19"/>
      <c r="F241" s="19"/>
      <c r="G241" s="19"/>
      <c r="H241" s="19"/>
      <c r="I241" s="19"/>
      <c r="J241" s="548"/>
    </row>
    <row r="242" spans="1:12" ht="15.5">
      <c r="A242" s="391"/>
      <c r="B242" s="19"/>
      <c r="C242" s="19"/>
      <c r="D242" s="19"/>
      <c r="E242" s="19"/>
      <c r="F242" s="19"/>
      <c r="G242" s="19"/>
      <c r="H242" s="19"/>
      <c r="I242" s="19"/>
      <c r="J242" s="548"/>
      <c r="L242" s="924"/>
    </row>
    <row r="243" spans="1:12" ht="15.5">
      <c r="A243" s="391"/>
      <c r="B243" s="19"/>
      <c r="C243" s="19"/>
      <c r="D243" s="19"/>
      <c r="E243" s="19"/>
      <c r="F243" s="19"/>
      <c r="G243" s="19"/>
      <c r="H243" s="19"/>
      <c r="I243" s="19"/>
      <c r="J243" s="548"/>
    </row>
    <row r="244" spans="1:12" ht="15.5">
      <c r="A244" s="391"/>
      <c r="B244" s="19"/>
      <c r="C244" s="19"/>
      <c r="D244" s="19"/>
      <c r="E244" s="19"/>
      <c r="F244" s="19"/>
      <c r="G244" s="19"/>
      <c r="H244" s="19"/>
      <c r="I244" s="19"/>
      <c r="J244" s="548"/>
    </row>
    <row r="245" spans="1:12" ht="15.5" hidden="1">
      <c r="A245" s="391"/>
      <c r="B245" s="19"/>
      <c r="C245" s="19"/>
      <c r="D245" s="19"/>
      <c r="E245" s="19"/>
      <c r="F245" s="19"/>
      <c r="G245" s="19"/>
      <c r="H245" s="19"/>
      <c r="I245" s="19"/>
      <c r="J245" s="548"/>
    </row>
    <row r="246" spans="1:12" ht="15.5">
      <c r="A246" s="391"/>
      <c r="B246" s="19"/>
      <c r="C246" s="19"/>
      <c r="D246" s="19"/>
      <c r="E246" s="19"/>
      <c r="F246" s="19"/>
      <c r="G246" s="19"/>
      <c r="H246" s="19"/>
      <c r="I246" s="19"/>
      <c r="J246" s="548"/>
    </row>
    <row r="247" spans="1:12" ht="15.5">
      <c r="A247" s="382"/>
      <c r="B247" s="584"/>
      <c r="C247" s="584"/>
      <c r="D247" s="584"/>
      <c r="E247" s="584"/>
      <c r="F247" s="584"/>
      <c r="G247" s="584"/>
      <c r="H247" s="584"/>
      <c r="I247" s="584"/>
      <c r="J247" s="645"/>
    </row>
    <row r="248" spans="1:12" ht="15.5">
      <c r="B248" s="19"/>
      <c r="C248" s="19"/>
      <c r="D248" s="19"/>
      <c r="E248" s="19"/>
      <c r="F248" s="19"/>
      <c r="G248" s="19"/>
      <c r="H248" s="19"/>
      <c r="I248" s="19"/>
      <c r="J248" s="19"/>
    </row>
    <row r="249" spans="1:12" ht="15.5">
      <c r="B249" s="19"/>
      <c r="C249" s="19"/>
      <c r="D249" s="19"/>
      <c r="E249" s="19"/>
      <c r="F249" s="19"/>
      <c r="G249" s="19"/>
      <c r="H249" s="19"/>
      <c r="I249" s="19"/>
      <c r="J249" s="19"/>
    </row>
    <row r="250" spans="1:12" ht="15.5">
      <c r="B250" s="19"/>
      <c r="C250" s="19"/>
      <c r="D250" s="19"/>
      <c r="E250" s="19"/>
      <c r="F250" s="19"/>
      <c r="G250" s="19"/>
      <c r="H250" s="19"/>
      <c r="I250" s="19"/>
      <c r="J250" s="19"/>
    </row>
    <row r="251" spans="1:12" ht="15.5">
      <c r="B251" s="19"/>
      <c r="C251" s="19"/>
      <c r="D251" s="19"/>
      <c r="E251" s="19"/>
      <c r="F251" s="19"/>
      <c r="G251" s="19"/>
      <c r="H251" s="19"/>
      <c r="I251" s="19"/>
      <c r="J251" s="19"/>
    </row>
    <row r="252" spans="1:12" ht="15.5">
      <c r="B252" s="19"/>
      <c r="C252" s="19"/>
      <c r="D252" s="19"/>
      <c r="E252" s="19"/>
      <c r="F252" s="19"/>
      <c r="G252" s="19"/>
      <c r="H252" s="19"/>
      <c r="I252" s="19"/>
      <c r="J252" s="19"/>
    </row>
    <row r="253" spans="1:12" ht="15.5">
      <c r="B253" s="19"/>
      <c r="C253" s="19"/>
      <c r="D253" s="19"/>
      <c r="E253" s="19"/>
      <c r="F253" s="19"/>
      <c r="G253" s="19"/>
      <c r="H253" s="19"/>
      <c r="I253" s="19"/>
      <c r="J253" s="19"/>
    </row>
    <row r="254" spans="1:12" ht="15.5">
      <c r="B254" s="19"/>
      <c r="C254" s="19"/>
      <c r="D254" s="19"/>
      <c r="E254" s="19"/>
      <c r="F254" s="19"/>
      <c r="G254" s="19"/>
      <c r="H254" s="19"/>
      <c r="I254" s="19"/>
      <c r="J254" s="19"/>
    </row>
    <row r="255" spans="1:12" ht="15.5">
      <c r="B255" s="19"/>
      <c r="C255" s="19"/>
      <c r="D255" s="19"/>
      <c r="E255" s="19"/>
      <c r="F255" s="19"/>
      <c r="G255" s="19"/>
      <c r="H255" s="19"/>
      <c r="I255" s="19"/>
      <c r="J255" s="19"/>
    </row>
    <row r="256" spans="1:12" ht="15.5">
      <c r="B256" s="19"/>
      <c r="C256" s="19"/>
      <c r="D256" s="19"/>
      <c r="E256" s="19"/>
      <c r="F256" s="19"/>
      <c r="G256" s="19"/>
      <c r="H256" s="19"/>
      <c r="I256" s="19"/>
      <c r="J256" s="19"/>
    </row>
    <row r="257" spans="2:10" ht="15.5">
      <c r="B257" s="19"/>
      <c r="C257" s="19"/>
      <c r="D257" s="19"/>
      <c r="E257" s="19"/>
      <c r="F257" s="19"/>
      <c r="G257" s="19"/>
      <c r="H257" s="19"/>
      <c r="I257" s="19"/>
      <c r="J257" s="19"/>
    </row>
    <row r="258" spans="2:10" ht="15.5">
      <c r="B258" s="19"/>
      <c r="C258" s="19"/>
      <c r="D258" s="19"/>
      <c r="E258" s="19"/>
      <c r="F258" s="19"/>
      <c r="G258" s="19"/>
      <c r="H258" s="19"/>
      <c r="I258" s="19"/>
      <c r="J258" s="19"/>
    </row>
    <row r="259" spans="2:10" ht="15.5">
      <c r="B259" s="19"/>
      <c r="C259" s="19"/>
      <c r="D259" s="19"/>
      <c r="E259" s="19"/>
      <c r="F259" s="19"/>
      <c r="G259" s="19"/>
      <c r="H259" s="19"/>
      <c r="I259" s="19"/>
      <c r="J259" s="19"/>
    </row>
    <row r="260" spans="2:10" ht="15.5">
      <c r="B260" s="19"/>
      <c r="C260" s="19"/>
      <c r="D260" s="19"/>
      <c r="E260" s="19"/>
      <c r="F260" s="19"/>
      <c r="G260" s="19"/>
      <c r="H260" s="19"/>
      <c r="I260" s="19"/>
      <c r="J260" s="19"/>
    </row>
    <row r="261" spans="2:10" ht="15.5">
      <c r="B261" s="19"/>
      <c r="C261" s="19"/>
      <c r="D261" s="19"/>
      <c r="E261" s="19"/>
      <c r="F261" s="19"/>
      <c r="G261" s="19"/>
      <c r="H261" s="19"/>
      <c r="I261" s="19"/>
      <c r="J261" s="19"/>
    </row>
    <row r="262" spans="2:10" ht="15.5">
      <c r="B262" s="19"/>
      <c r="C262" s="19"/>
      <c r="D262" s="19"/>
      <c r="E262" s="19"/>
      <c r="F262" s="19"/>
      <c r="G262" s="19"/>
      <c r="H262" s="19"/>
      <c r="I262" s="19"/>
      <c r="J262" s="19"/>
    </row>
    <row r="263" spans="2:10" ht="15.5">
      <c r="B263" s="19"/>
      <c r="C263" s="19"/>
      <c r="D263" s="19"/>
      <c r="E263" s="19"/>
      <c r="F263" s="19"/>
      <c r="G263" s="19"/>
      <c r="H263" s="19"/>
      <c r="I263" s="19"/>
      <c r="J263" s="19"/>
    </row>
    <row r="264" spans="2:10" ht="15.5">
      <c r="B264" s="19"/>
      <c r="C264" s="19"/>
      <c r="D264" s="19"/>
      <c r="E264" s="19"/>
      <c r="F264" s="19"/>
      <c r="G264" s="19"/>
      <c r="H264" s="19"/>
      <c r="I264" s="19"/>
      <c r="J264" s="19"/>
    </row>
    <row r="265" spans="2:10" ht="15.5">
      <c r="B265" s="19"/>
      <c r="C265" s="19"/>
      <c r="D265" s="19"/>
      <c r="E265" s="19"/>
      <c r="F265" s="19"/>
      <c r="G265" s="19"/>
      <c r="H265" s="19"/>
      <c r="I265" s="19"/>
      <c r="J265" s="19"/>
    </row>
    <row r="266" spans="2:10" ht="15.5">
      <c r="B266" s="19"/>
      <c r="C266" s="19"/>
      <c r="D266" s="19"/>
      <c r="E266" s="19"/>
      <c r="F266" s="19"/>
      <c r="G266" s="19"/>
      <c r="H266" s="19"/>
      <c r="I266" s="19"/>
      <c r="J266" s="19"/>
    </row>
    <row r="267" spans="2:10" ht="15.5">
      <c r="B267" s="19"/>
      <c r="C267" s="19"/>
      <c r="D267" s="19"/>
      <c r="E267" s="19"/>
      <c r="F267" s="19"/>
      <c r="G267" s="19"/>
      <c r="H267" s="19"/>
      <c r="I267" s="19"/>
      <c r="J267" s="19"/>
    </row>
    <row r="268" spans="2:10" ht="15.5">
      <c r="B268" s="19"/>
      <c r="C268" s="19"/>
      <c r="D268" s="19"/>
      <c r="E268" s="19"/>
      <c r="F268" s="19"/>
      <c r="G268" s="19"/>
      <c r="H268" s="19"/>
      <c r="I268" s="19"/>
      <c r="J268" s="19"/>
    </row>
    <row r="269" spans="2:10" ht="15.5">
      <c r="B269" s="19"/>
      <c r="C269" s="19"/>
      <c r="D269" s="19"/>
      <c r="E269" s="19"/>
      <c r="F269" s="19"/>
      <c r="G269" s="19"/>
      <c r="H269" s="19"/>
      <c r="I269" s="19"/>
      <c r="J269" s="19"/>
    </row>
    <row r="270" spans="2:10" ht="15.5">
      <c r="B270" s="19"/>
      <c r="C270" s="19"/>
      <c r="D270" s="19"/>
      <c r="E270" s="19"/>
      <c r="F270" s="19"/>
      <c r="G270" s="19"/>
      <c r="H270" s="19"/>
      <c r="I270" s="19"/>
      <c r="J270" s="19"/>
    </row>
    <row r="271" spans="2:10" ht="15.5">
      <c r="B271" s="19"/>
      <c r="C271" s="19"/>
      <c r="D271" s="19"/>
      <c r="E271" s="19"/>
      <c r="F271" s="19"/>
      <c r="G271" s="19"/>
      <c r="H271" s="19"/>
      <c r="I271" s="19"/>
      <c r="J271" s="19"/>
    </row>
    <row r="272" spans="2:10" ht="15.5">
      <c r="B272" s="19"/>
      <c r="C272" s="19"/>
      <c r="D272" s="19"/>
      <c r="E272" s="19"/>
      <c r="F272" s="19"/>
      <c r="G272" s="19"/>
      <c r="H272" s="19"/>
      <c r="I272" s="19"/>
      <c r="J272" s="19"/>
    </row>
    <row r="273" spans="2:10" ht="15.5">
      <c r="B273" s="19"/>
      <c r="C273" s="19"/>
      <c r="D273" s="19"/>
      <c r="E273" s="19"/>
      <c r="F273" s="19"/>
      <c r="G273" s="19"/>
      <c r="H273" s="19"/>
      <c r="I273" s="19"/>
      <c r="J273" s="19"/>
    </row>
    <row r="274" spans="2:10" ht="15.5">
      <c r="B274" s="19"/>
      <c r="C274" s="19"/>
      <c r="D274" s="19"/>
      <c r="E274" s="19"/>
      <c r="F274" s="19"/>
      <c r="G274" s="19"/>
      <c r="H274" s="19"/>
      <c r="I274" s="19"/>
      <c r="J274" s="19"/>
    </row>
    <row r="275" spans="2:10" ht="15.5">
      <c r="B275" s="19"/>
      <c r="C275" s="19"/>
      <c r="D275" s="19"/>
      <c r="E275" s="19"/>
      <c r="F275" s="19"/>
      <c r="G275" s="19"/>
      <c r="H275" s="19"/>
      <c r="I275" s="19"/>
      <c r="J275" s="19"/>
    </row>
    <row r="276" spans="2:10" ht="15.5">
      <c r="B276" s="19"/>
      <c r="C276" s="19"/>
      <c r="D276" s="19"/>
      <c r="E276" s="19"/>
      <c r="F276" s="19"/>
      <c r="G276" s="19"/>
      <c r="H276" s="19"/>
      <c r="I276" s="19"/>
      <c r="J276" s="19"/>
    </row>
    <row r="277" spans="2:10" ht="15.5">
      <c r="B277" s="19"/>
      <c r="C277" s="19"/>
      <c r="D277" s="19"/>
      <c r="E277" s="19"/>
      <c r="F277" s="19"/>
      <c r="G277" s="19"/>
      <c r="H277" s="19"/>
      <c r="I277" s="19"/>
      <c r="J277" s="19"/>
    </row>
    <row r="278" spans="2:10" ht="15.5">
      <c r="B278" s="19"/>
      <c r="C278" s="19"/>
      <c r="D278" s="19"/>
      <c r="E278" s="19"/>
      <c r="F278" s="19"/>
      <c r="G278" s="19"/>
      <c r="H278" s="19"/>
      <c r="I278" s="19"/>
      <c r="J278" s="19"/>
    </row>
    <row r="279" spans="2:10" ht="15.5">
      <c r="B279" s="19"/>
      <c r="C279" s="19"/>
      <c r="D279" s="19"/>
      <c r="E279" s="19"/>
      <c r="F279" s="19"/>
      <c r="G279" s="19"/>
      <c r="H279" s="19"/>
      <c r="I279" s="19"/>
      <c r="J279" s="19"/>
    </row>
    <row r="280" spans="2:10" ht="15.5">
      <c r="B280" s="19"/>
      <c r="C280" s="19"/>
      <c r="D280" s="19"/>
      <c r="E280" s="19"/>
      <c r="F280" s="19"/>
      <c r="G280" s="19"/>
      <c r="H280" s="19"/>
      <c r="I280" s="19"/>
      <c r="J280" s="19"/>
    </row>
    <row r="281" spans="2:10" ht="15.5">
      <c r="B281" s="19"/>
      <c r="C281" s="19"/>
      <c r="D281" s="19"/>
      <c r="E281" s="19"/>
      <c r="F281" s="19"/>
      <c r="G281" s="19"/>
      <c r="H281" s="19"/>
      <c r="I281" s="19"/>
      <c r="J281" s="19"/>
    </row>
    <row r="282" spans="2:10" ht="15.5">
      <c r="B282" s="19"/>
      <c r="C282" s="19"/>
      <c r="D282" s="19"/>
      <c r="E282" s="19"/>
      <c r="F282" s="19"/>
      <c r="G282" s="19"/>
      <c r="H282" s="19"/>
      <c r="I282" s="19"/>
      <c r="J282" s="19"/>
    </row>
    <row r="283" spans="2:10" ht="15.5">
      <c r="B283" s="19"/>
      <c r="C283" s="19"/>
      <c r="D283" s="19"/>
      <c r="E283" s="19"/>
      <c r="F283" s="19"/>
      <c r="G283" s="19"/>
      <c r="H283" s="19"/>
      <c r="I283" s="19"/>
      <c r="J283" s="19"/>
    </row>
    <row r="284" spans="2:10" ht="15.5">
      <c r="B284" s="19"/>
      <c r="C284" s="19"/>
      <c r="D284" s="19"/>
      <c r="E284" s="19"/>
      <c r="F284" s="19"/>
      <c r="G284" s="19"/>
      <c r="H284" s="19"/>
      <c r="I284" s="19"/>
      <c r="J284" s="19"/>
    </row>
    <row r="285" spans="2:10" ht="15.5">
      <c r="B285" s="19"/>
      <c r="C285" s="19"/>
      <c r="D285" s="19"/>
      <c r="E285" s="19"/>
      <c r="F285" s="19"/>
      <c r="G285" s="19"/>
      <c r="H285" s="19"/>
      <c r="I285" s="19"/>
      <c r="J285" s="19"/>
    </row>
    <row r="286" spans="2:10" ht="15.5">
      <c r="B286" s="19"/>
      <c r="C286" s="19"/>
      <c r="D286" s="19"/>
      <c r="E286" s="19"/>
      <c r="F286" s="19"/>
      <c r="G286" s="19"/>
      <c r="H286" s="19"/>
      <c r="I286" s="19"/>
      <c r="J286" s="19"/>
    </row>
    <row r="287" spans="2:10" ht="15.5">
      <c r="B287" s="19"/>
      <c r="C287" s="19"/>
      <c r="D287" s="19"/>
      <c r="E287" s="19"/>
      <c r="F287" s="19"/>
      <c r="G287" s="19"/>
      <c r="H287" s="19"/>
      <c r="I287" s="19"/>
      <c r="J287" s="19"/>
    </row>
    <row r="288" spans="2:10" ht="15.5">
      <c r="B288" s="19"/>
      <c r="C288" s="19"/>
      <c r="D288" s="19"/>
      <c r="E288" s="19"/>
      <c r="F288" s="19"/>
      <c r="G288" s="19"/>
      <c r="H288" s="19"/>
      <c r="I288" s="19"/>
      <c r="J288" s="19"/>
    </row>
    <row r="289" spans="2:10" ht="15.5">
      <c r="B289" s="19"/>
      <c r="C289" s="19"/>
      <c r="D289" s="19"/>
      <c r="E289" s="19"/>
      <c r="F289" s="19"/>
      <c r="G289" s="19"/>
      <c r="H289" s="19"/>
      <c r="I289" s="19"/>
      <c r="J289" s="19"/>
    </row>
    <row r="290" spans="2:10" ht="15.5">
      <c r="B290" s="19"/>
      <c r="C290" s="19"/>
      <c r="D290" s="19"/>
      <c r="E290" s="19"/>
      <c r="F290" s="19"/>
      <c r="G290" s="19"/>
      <c r="H290" s="19"/>
      <c r="I290" s="19"/>
      <c r="J290" s="19"/>
    </row>
    <row r="291" spans="2:10" ht="15.5">
      <c r="B291" s="19"/>
      <c r="C291" s="19"/>
      <c r="D291" s="19"/>
      <c r="E291" s="19"/>
      <c r="F291" s="19"/>
      <c r="G291" s="19"/>
      <c r="H291" s="19"/>
      <c r="I291" s="19"/>
      <c r="J291" s="19"/>
    </row>
    <row r="292" spans="2:10" ht="15.5">
      <c r="B292" s="19"/>
      <c r="C292" s="19"/>
      <c r="D292" s="19"/>
      <c r="E292" s="19"/>
      <c r="F292" s="19"/>
      <c r="G292" s="19"/>
      <c r="H292" s="19"/>
      <c r="I292" s="19"/>
      <c r="J292" s="19"/>
    </row>
    <row r="293" spans="2:10" ht="15.5">
      <c r="B293" s="19"/>
      <c r="C293" s="19"/>
      <c r="D293" s="19"/>
      <c r="E293" s="19"/>
      <c r="F293" s="19"/>
      <c r="G293" s="19"/>
      <c r="H293" s="19"/>
      <c r="I293" s="19"/>
      <c r="J293" s="19"/>
    </row>
    <row r="294" spans="2:10" ht="15.5">
      <c r="B294" s="19"/>
      <c r="C294" s="19"/>
      <c r="D294" s="19"/>
      <c r="E294" s="19"/>
      <c r="F294" s="19"/>
      <c r="G294" s="19"/>
      <c r="H294" s="19"/>
      <c r="I294" s="19"/>
      <c r="J294" s="19"/>
    </row>
    <row r="295" spans="2:10" ht="15.5">
      <c r="B295" s="19"/>
      <c r="C295" s="19"/>
      <c r="D295" s="19"/>
      <c r="E295" s="19"/>
      <c r="F295" s="19"/>
      <c r="G295" s="19"/>
      <c r="H295" s="19"/>
      <c r="I295" s="19"/>
      <c r="J295" s="19"/>
    </row>
    <row r="296" spans="2:10" ht="15.5">
      <c r="B296" s="19"/>
      <c r="C296" s="19"/>
      <c r="D296" s="19"/>
      <c r="E296" s="19"/>
      <c r="F296" s="19"/>
      <c r="G296" s="19"/>
      <c r="H296" s="19"/>
      <c r="I296" s="19"/>
      <c r="J296" s="19"/>
    </row>
    <row r="297" spans="2:10" ht="15.5">
      <c r="B297" s="19"/>
      <c r="C297" s="19"/>
      <c r="D297" s="19"/>
      <c r="E297" s="19"/>
      <c r="F297" s="19"/>
      <c r="G297" s="19"/>
      <c r="H297" s="19"/>
      <c r="I297" s="19"/>
      <c r="J297" s="19"/>
    </row>
    <row r="298" spans="2:10" ht="15.5">
      <c r="B298" s="19"/>
      <c r="C298" s="19"/>
      <c r="D298" s="19"/>
      <c r="E298" s="19"/>
      <c r="F298" s="19"/>
      <c r="G298" s="19"/>
      <c r="H298" s="19"/>
      <c r="I298" s="19"/>
      <c r="J298" s="19"/>
    </row>
    <row r="299" spans="2:10" ht="15.5">
      <c r="B299" s="19"/>
      <c r="C299" s="19"/>
      <c r="D299" s="19"/>
      <c r="E299" s="19"/>
      <c r="F299" s="19"/>
      <c r="G299" s="19"/>
      <c r="H299" s="19"/>
      <c r="I299" s="19"/>
      <c r="J299" s="19"/>
    </row>
    <row r="300" spans="2:10" ht="15.5">
      <c r="B300" s="19"/>
      <c r="C300" s="19"/>
      <c r="D300" s="19"/>
      <c r="E300" s="19"/>
      <c r="F300" s="19"/>
      <c r="G300" s="19"/>
      <c r="H300" s="19"/>
      <c r="I300" s="19"/>
      <c r="J300" s="19"/>
    </row>
    <row r="301" spans="2:10" ht="15.5">
      <c r="B301" s="19"/>
      <c r="C301" s="19"/>
      <c r="D301" s="19"/>
      <c r="E301" s="19"/>
      <c r="F301" s="19"/>
      <c r="G301" s="19"/>
      <c r="H301" s="19"/>
      <c r="I301" s="19"/>
      <c r="J301" s="19"/>
    </row>
    <row r="302" spans="2:10" ht="15.5">
      <c r="B302" s="19"/>
      <c r="C302" s="19"/>
      <c r="D302" s="19"/>
      <c r="E302" s="19"/>
      <c r="F302" s="19"/>
      <c r="G302" s="19"/>
      <c r="H302" s="19"/>
      <c r="I302" s="19"/>
      <c r="J302" s="19"/>
    </row>
    <row r="303" spans="2:10" ht="15.5">
      <c r="B303" s="19"/>
      <c r="C303" s="19"/>
      <c r="D303" s="19"/>
      <c r="E303" s="19"/>
      <c r="F303" s="19"/>
      <c r="G303" s="19"/>
      <c r="H303" s="19"/>
      <c r="I303" s="19"/>
      <c r="J303" s="19"/>
    </row>
    <row r="304" spans="2:10" ht="15.5">
      <c r="B304" s="19"/>
      <c r="C304" s="19"/>
      <c r="D304" s="19"/>
      <c r="E304" s="19"/>
      <c r="F304" s="19"/>
      <c r="G304" s="19"/>
      <c r="H304" s="19"/>
      <c r="I304" s="19"/>
      <c r="J304" s="19"/>
    </row>
    <row r="305" spans="2:10" ht="15.5">
      <c r="B305" s="19"/>
      <c r="C305" s="19"/>
      <c r="D305" s="19"/>
      <c r="E305" s="19"/>
      <c r="F305" s="19"/>
      <c r="G305" s="19"/>
      <c r="H305" s="19"/>
      <c r="I305" s="19"/>
      <c r="J305" s="19"/>
    </row>
    <row r="306" spans="2:10" ht="15.5">
      <c r="B306" s="19"/>
      <c r="C306" s="19"/>
      <c r="D306" s="19"/>
      <c r="E306" s="19"/>
      <c r="F306" s="19"/>
      <c r="G306" s="19"/>
      <c r="H306" s="19"/>
      <c r="I306" s="19"/>
      <c r="J306" s="19"/>
    </row>
    <row r="307" spans="2:10" ht="15.5">
      <c r="B307" s="19"/>
      <c r="C307" s="19"/>
      <c r="D307" s="19"/>
      <c r="E307" s="19"/>
      <c r="F307" s="19"/>
      <c r="G307" s="19"/>
      <c r="H307" s="19"/>
      <c r="I307" s="19"/>
      <c r="J307" s="19"/>
    </row>
    <row r="308" spans="2:10" ht="15.5">
      <c r="B308" s="19"/>
      <c r="C308" s="19"/>
      <c r="D308" s="19"/>
      <c r="E308" s="19"/>
      <c r="F308" s="19"/>
      <c r="G308" s="19"/>
      <c r="H308" s="19"/>
      <c r="I308" s="19"/>
      <c r="J308" s="19"/>
    </row>
    <row r="309" spans="2:10" ht="15.5">
      <c r="B309" s="19"/>
      <c r="C309" s="19"/>
      <c r="D309" s="19"/>
      <c r="E309" s="19"/>
      <c r="F309" s="19"/>
      <c r="G309" s="19"/>
      <c r="H309" s="19"/>
      <c r="I309" s="19"/>
      <c r="J309" s="19"/>
    </row>
    <row r="310" spans="2:10" ht="15.5">
      <c r="B310" s="19"/>
      <c r="C310" s="19"/>
      <c r="D310" s="19"/>
      <c r="E310" s="19"/>
      <c r="F310" s="19"/>
      <c r="G310" s="19"/>
      <c r="H310" s="19"/>
      <c r="I310" s="19"/>
      <c r="J310" s="19"/>
    </row>
    <row r="311" spans="2:10" ht="15.5">
      <c r="B311" s="19"/>
      <c r="C311" s="19"/>
      <c r="D311" s="19"/>
      <c r="E311" s="19"/>
      <c r="F311" s="19"/>
      <c r="G311" s="19"/>
      <c r="H311" s="19"/>
      <c r="I311" s="19"/>
      <c r="J311" s="19"/>
    </row>
    <row r="312" spans="2:10" ht="15.5">
      <c r="B312" s="19"/>
      <c r="C312" s="19"/>
      <c r="D312" s="19"/>
      <c r="E312" s="19"/>
      <c r="F312" s="19"/>
      <c r="G312" s="19"/>
      <c r="H312" s="19"/>
      <c r="I312" s="19"/>
      <c r="J312" s="19"/>
    </row>
    <row r="313" spans="2:10" ht="15.5">
      <c r="B313" s="19"/>
      <c r="C313" s="19"/>
      <c r="D313" s="19"/>
      <c r="E313" s="19"/>
      <c r="F313" s="19"/>
      <c r="G313" s="19"/>
      <c r="H313" s="19"/>
      <c r="I313" s="19"/>
      <c r="J313" s="19"/>
    </row>
    <row r="314" spans="2:10" ht="15.5">
      <c r="B314" s="19"/>
      <c r="C314" s="19"/>
      <c r="D314" s="19"/>
      <c r="E314" s="19"/>
      <c r="F314" s="19"/>
      <c r="G314" s="19"/>
      <c r="H314" s="19"/>
      <c r="I314" s="19"/>
      <c r="J314" s="19"/>
    </row>
    <row r="315" spans="2:10" ht="15.5">
      <c r="B315" s="19"/>
      <c r="C315" s="19"/>
      <c r="D315" s="19"/>
      <c r="E315" s="19"/>
      <c r="F315" s="19"/>
      <c r="G315" s="19"/>
      <c r="H315" s="19"/>
      <c r="I315" s="19"/>
      <c r="J315" s="19"/>
    </row>
    <row r="316" spans="2:10" ht="15.5">
      <c r="B316" s="19"/>
      <c r="C316" s="19"/>
      <c r="D316" s="19"/>
      <c r="E316" s="19"/>
      <c r="F316" s="19"/>
      <c r="G316" s="19"/>
      <c r="H316" s="19"/>
      <c r="I316" s="19"/>
      <c r="J316" s="19"/>
    </row>
    <row r="317" spans="2:10" ht="15.5">
      <c r="B317" s="19"/>
      <c r="C317" s="19"/>
      <c r="D317" s="19"/>
      <c r="E317" s="19"/>
      <c r="F317" s="19"/>
      <c r="G317" s="19"/>
      <c r="H317" s="19"/>
      <c r="I317" s="19"/>
      <c r="J317" s="19"/>
    </row>
    <row r="318" spans="2:10" ht="15.5">
      <c r="B318" s="19"/>
      <c r="C318" s="19"/>
      <c r="D318" s="19"/>
      <c r="E318" s="19"/>
      <c r="F318" s="19"/>
      <c r="G318" s="19"/>
      <c r="H318" s="19"/>
      <c r="I318" s="19"/>
      <c r="J318" s="19"/>
    </row>
    <row r="319" spans="2:10" ht="15.5">
      <c r="B319" s="19"/>
      <c r="C319" s="19"/>
      <c r="D319" s="19"/>
      <c r="E319" s="19"/>
      <c r="F319" s="19"/>
      <c r="G319" s="19"/>
      <c r="H319" s="19"/>
      <c r="I319" s="19"/>
      <c r="J319" s="19"/>
    </row>
    <row r="320" spans="2:10" ht="15.5">
      <c r="B320" s="19"/>
      <c r="C320" s="19"/>
      <c r="D320" s="19"/>
      <c r="E320" s="19"/>
      <c r="F320" s="19"/>
      <c r="G320" s="19"/>
      <c r="H320" s="19"/>
      <c r="I320" s="19"/>
      <c r="J320" s="19"/>
    </row>
    <row r="321" spans="2:10" ht="15.5">
      <c r="B321" s="19"/>
      <c r="C321" s="19"/>
      <c r="D321" s="19"/>
      <c r="E321" s="19"/>
      <c r="F321" s="19"/>
      <c r="G321" s="19"/>
      <c r="H321" s="19"/>
      <c r="I321" s="19"/>
      <c r="J321" s="19"/>
    </row>
    <row r="322" spans="2:10" ht="15.5">
      <c r="B322" s="19"/>
      <c r="C322" s="19"/>
      <c r="D322" s="19"/>
      <c r="E322" s="19"/>
      <c r="F322" s="19"/>
      <c r="G322" s="19"/>
      <c r="H322" s="19"/>
      <c r="I322" s="19"/>
      <c r="J322" s="19"/>
    </row>
    <row r="323" spans="2:10" ht="15.5">
      <c r="B323" s="19"/>
      <c r="C323" s="19"/>
      <c r="D323" s="19"/>
      <c r="E323" s="19"/>
      <c r="F323" s="19"/>
      <c r="G323" s="19"/>
      <c r="H323" s="19"/>
      <c r="I323" s="19"/>
      <c r="J323" s="19"/>
    </row>
    <row r="324" spans="2:10" ht="15.5">
      <c r="B324" s="19"/>
      <c r="C324" s="19"/>
      <c r="D324" s="19"/>
      <c r="E324" s="19"/>
      <c r="F324" s="19"/>
      <c r="G324" s="19"/>
      <c r="H324" s="19"/>
      <c r="I324" s="19"/>
      <c r="J324" s="19"/>
    </row>
    <row r="325" spans="2:10" ht="15.5">
      <c r="B325" s="19"/>
      <c r="C325" s="19"/>
      <c r="D325" s="19"/>
      <c r="E325" s="19"/>
      <c r="F325" s="19"/>
      <c r="G325" s="19"/>
      <c r="H325" s="19"/>
      <c r="I325" s="19"/>
      <c r="J325" s="19"/>
    </row>
    <row r="326" spans="2:10" ht="15.5">
      <c r="B326" s="19"/>
      <c r="C326" s="19"/>
      <c r="D326" s="19"/>
      <c r="E326" s="19"/>
      <c r="F326" s="19"/>
      <c r="G326" s="19"/>
      <c r="H326" s="19"/>
      <c r="I326" s="19"/>
      <c r="J326" s="19"/>
    </row>
    <row r="327" spans="2:10" ht="15.5">
      <c r="B327" s="19"/>
      <c r="C327" s="19"/>
      <c r="D327" s="19"/>
      <c r="E327" s="19"/>
      <c r="F327" s="19"/>
      <c r="G327" s="19"/>
      <c r="H327" s="19"/>
      <c r="I327" s="19"/>
      <c r="J327" s="19"/>
    </row>
    <row r="328" spans="2:10" ht="15.5">
      <c r="B328" s="19"/>
      <c r="C328" s="19"/>
      <c r="D328" s="19"/>
      <c r="E328" s="19"/>
      <c r="F328" s="19"/>
      <c r="G328" s="19"/>
      <c r="H328" s="19"/>
      <c r="I328" s="19"/>
      <c r="J328" s="19"/>
    </row>
    <row r="329" spans="2:10" ht="15.5">
      <c r="B329" s="19"/>
      <c r="C329" s="19"/>
      <c r="D329" s="19"/>
      <c r="E329" s="19"/>
      <c r="F329" s="19"/>
      <c r="G329" s="19"/>
      <c r="H329" s="19"/>
      <c r="I329" s="19"/>
      <c r="J329" s="19"/>
    </row>
    <row r="330" spans="2:10" ht="15.5">
      <c r="B330" s="19"/>
      <c r="C330" s="19"/>
      <c r="D330" s="19"/>
      <c r="E330" s="19"/>
      <c r="F330" s="19"/>
      <c r="G330" s="19"/>
      <c r="H330" s="19"/>
      <c r="I330" s="19"/>
      <c r="J330" s="19"/>
    </row>
    <row r="331" spans="2:10" ht="15.5">
      <c r="B331" s="19"/>
      <c r="C331" s="19"/>
      <c r="D331" s="19"/>
      <c r="E331" s="19"/>
      <c r="F331" s="19"/>
      <c r="G331" s="19"/>
      <c r="H331" s="19"/>
      <c r="I331" s="19"/>
      <c r="J331" s="19"/>
    </row>
    <row r="332" spans="2:10" ht="15.5">
      <c r="B332" s="19"/>
      <c r="C332" s="19"/>
      <c r="D332" s="19"/>
      <c r="E332" s="19"/>
      <c r="F332" s="19"/>
      <c r="G332" s="19"/>
      <c r="H332" s="19"/>
      <c r="I332" s="19"/>
      <c r="J332" s="19"/>
    </row>
    <row r="333" spans="2:10" ht="15.5">
      <c r="B333" s="19"/>
      <c r="C333" s="19"/>
      <c r="D333" s="19"/>
      <c r="E333" s="19"/>
      <c r="F333" s="19"/>
      <c r="G333" s="19"/>
      <c r="H333" s="19"/>
      <c r="I333" s="19"/>
      <c r="J333" s="19"/>
    </row>
    <row r="334" spans="2:10" ht="15.5">
      <c r="B334" s="19"/>
      <c r="C334" s="19"/>
      <c r="D334" s="19"/>
      <c r="E334" s="19"/>
      <c r="F334" s="19"/>
      <c r="G334" s="19"/>
      <c r="H334" s="19"/>
      <c r="I334" s="19"/>
      <c r="J334" s="19"/>
    </row>
    <row r="335" spans="2:10" ht="15.5">
      <c r="B335" s="19"/>
      <c r="C335" s="19"/>
      <c r="D335" s="19"/>
      <c r="E335" s="19"/>
      <c r="F335" s="19"/>
      <c r="G335" s="19"/>
      <c r="H335" s="19"/>
      <c r="I335" s="19"/>
      <c r="J335" s="19"/>
    </row>
    <row r="336" spans="2:10" ht="15.5">
      <c r="B336" s="19"/>
      <c r="C336" s="19"/>
      <c r="D336" s="19"/>
      <c r="E336" s="19"/>
      <c r="F336" s="19"/>
      <c r="G336" s="19"/>
      <c r="H336" s="19"/>
      <c r="I336" s="19"/>
      <c r="J336" s="19"/>
    </row>
    <row r="337" spans="2:10" ht="15.5">
      <c r="B337" s="19"/>
      <c r="C337" s="19"/>
      <c r="D337" s="19"/>
      <c r="E337" s="19"/>
      <c r="F337" s="19"/>
      <c r="G337" s="19"/>
      <c r="H337" s="19"/>
      <c r="I337" s="19"/>
      <c r="J337" s="19"/>
    </row>
    <row r="338" spans="2:10" ht="15.5">
      <c r="B338" s="19"/>
      <c r="C338" s="19"/>
      <c r="D338" s="19"/>
      <c r="E338" s="19"/>
      <c r="F338" s="19"/>
      <c r="G338" s="19"/>
      <c r="H338" s="19"/>
      <c r="I338" s="19"/>
      <c r="J338" s="19"/>
    </row>
    <row r="339" spans="2:10" ht="15.5">
      <c r="B339" s="19"/>
      <c r="C339" s="19"/>
      <c r="D339" s="19"/>
      <c r="E339" s="19"/>
      <c r="F339" s="19"/>
      <c r="G339" s="19"/>
      <c r="H339" s="19"/>
      <c r="I339" s="19"/>
      <c r="J339" s="19"/>
    </row>
    <row r="340" spans="2:10" ht="15.5">
      <c r="B340" s="19"/>
      <c r="C340" s="19"/>
      <c r="D340" s="19"/>
      <c r="E340" s="19"/>
      <c r="F340" s="19"/>
      <c r="G340" s="19"/>
      <c r="H340" s="19"/>
      <c r="I340" s="19"/>
      <c r="J340" s="19"/>
    </row>
    <row r="341" spans="2:10" ht="15.5">
      <c r="B341" s="19"/>
      <c r="C341" s="19"/>
      <c r="D341" s="19"/>
      <c r="E341" s="19"/>
      <c r="F341" s="19"/>
      <c r="G341" s="19"/>
      <c r="H341" s="19"/>
      <c r="I341" s="19"/>
      <c r="J341" s="19"/>
    </row>
    <row r="342" spans="2:10" ht="15.5">
      <c r="B342" s="19"/>
      <c r="C342" s="19"/>
      <c r="D342" s="19"/>
      <c r="E342" s="19"/>
      <c r="F342" s="19"/>
      <c r="G342" s="19"/>
      <c r="H342" s="19"/>
      <c r="I342" s="19"/>
      <c r="J342" s="19"/>
    </row>
    <row r="343" spans="2:10" ht="15.5">
      <c r="B343" s="19"/>
      <c r="C343" s="19"/>
      <c r="D343" s="19"/>
      <c r="E343" s="19"/>
      <c r="F343" s="19"/>
      <c r="G343" s="19"/>
      <c r="H343" s="19"/>
      <c r="I343" s="19"/>
      <c r="J343" s="19"/>
    </row>
    <row r="344" spans="2:10" ht="15.5">
      <c r="B344" s="19"/>
      <c r="C344" s="19"/>
      <c r="D344" s="19"/>
      <c r="E344" s="19"/>
      <c r="F344" s="19"/>
      <c r="G344" s="19"/>
      <c r="H344" s="19"/>
      <c r="I344" s="19"/>
      <c r="J344" s="19"/>
    </row>
    <row r="345" spans="2:10" ht="15.5">
      <c r="B345" s="19"/>
      <c r="C345" s="19"/>
      <c r="D345" s="19"/>
      <c r="E345" s="19"/>
      <c r="F345" s="19"/>
      <c r="G345" s="19"/>
      <c r="H345" s="19"/>
      <c r="I345" s="19"/>
      <c r="J345" s="19"/>
    </row>
    <row r="346" spans="2:10" ht="15.5">
      <c r="B346" s="19"/>
      <c r="C346" s="19"/>
      <c r="D346" s="19"/>
      <c r="E346" s="19"/>
      <c r="F346" s="19"/>
      <c r="G346" s="19"/>
      <c r="H346" s="19"/>
      <c r="I346" s="19"/>
      <c r="J346" s="19"/>
    </row>
    <row r="347" spans="2:10" ht="15.5">
      <c r="B347" s="19"/>
      <c r="C347" s="19"/>
      <c r="D347" s="19"/>
      <c r="E347" s="19"/>
      <c r="F347" s="19"/>
      <c r="G347" s="19"/>
      <c r="H347" s="19"/>
      <c r="I347" s="19"/>
      <c r="J347" s="19"/>
    </row>
    <row r="348" spans="2:10" ht="15.5">
      <c r="B348" s="19"/>
      <c r="C348" s="19"/>
      <c r="D348" s="19"/>
      <c r="E348" s="19"/>
      <c r="F348" s="19"/>
      <c r="G348" s="19"/>
      <c r="H348" s="19"/>
      <c r="I348" s="19"/>
      <c r="J348" s="19"/>
    </row>
    <row r="349" spans="2:10" ht="15.5">
      <c r="B349" s="19"/>
      <c r="C349" s="19"/>
      <c r="D349" s="19"/>
      <c r="E349" s="19"/>
      <c r="F349" s="19"/>
      <c r="G349" s="19"/>
      <c r="H349" s="19"/>
      <c r="I349" s="19"/>
      <c r="J349" s="19"/>
    </row>
    <row r="350" spans="2:10" ht="15.5">
      <c r="B350" s="19"/>
      <c r="C350" s="19"/>
      <c r="D350" s="19"/>
      <c r="E350" s="19"/>
      <c r="F350" s="19"/>
      <c r="G350" s="19"/>
      <c r="H350" s="19"/>
      <c r="I350" s="19"/>
      <c r="J350" s="19"/>
    </row>
    <row r="351" spans="2:10" ht="15.5">
      <c r="B351" s="19"/>
      <c r="C351" s="19"/>
      <c r="D351" s="19"/>
      <c r="E351" s="19"/>
      <c r="F351" s="19"/>
      <c r="G351" s="19"/>
      <c r="H351" s="19"/>
      <c r="I351" s="19"/>
      <c r="J351" s="19"/>
    </row>
    <row r="352" spans="2:10" ht="15.5">
      <c r="B352" s="19"/>
      <c r="C352" s="19"/>
      <c r="D352" s="19"/>
      <c r="E352" s="19"/>
      <c r="F352" s="19"/>
      <c r="G352" s="19"/>
      <c r="H352" s="19"/>
      <c r="I352" s="19"/>
      <c r="J352" s="19"/>
    </row>
    <row r="353" spans="2:10" ht="15.5">
      <c r="B353" s="19"/>
      <c r="C353" s="19"/>
      <c r="D353" s="19"/>
      <c r="E353" s="19"/>
      <c r="F353" s="19"/>
      <c r="G353" s="19"/>
      <c r="H353" s="19"/>
      <c r="I353" s="19"/>
      <c r="J353" s="19"/>
    </row>
    <row r="354" spans="2:10" ht="15.5">
      <c r="B354" s="19"/>
      <c r="C354" s="19"/>
      <c r="D354" s="19"/>
      <c r="E354" s="19"/>
      <c r="F354" s="19"/>
      <c r="G354" s="19"/>
      <c r="H354" s="19"/>
      <c r="I354" s="19"/>
      <c r="J354" s="19"/>
    </row>
    <row r="355" spans="2:10" ht="15.5">
      <c r="B355" s="19"/>
      <c r="C355" s="19"/>
      <c r="D355" s="19"/>
      <c r="E355" s="19"/>
      <c r="F355" s="19"/>
      <c r="G355" s="19"/>
      <c r="H355" s="19"/>
      <c r="I355" s="19"/>
      <c r="J355" s="19"/>
    </row>
    <row r="356" spans="2:10" ht="15.5">
      <c r="B356" s="19"/>
      <c r="C356" s="19"/>
      <c r="D356" s="19"/>
      <c r="E356" s="19"/>
      <c r="F356" s="19"/>
      <c r="G356" s="19"/>
      <c r="H356" s="19"/>
      <c r="I356" s="19"/>
      <c r="J356" s="19"/>
    </row>
    <row r="357" spans="2:10" ht="15.5">
      <c r="B357" s="19"/>
      <c r="C357" s="19"/>
      <c r="D357" s="19"/>
      <c r="E357" s="19"/>
      <c r="F357" s="19"/>
      <c r="G357" s="19"/>
      <c r="H357" s="19"/>
      <c r="I357" s="19"/>
      <c r="J357" s="19"/>
    </row>
    <row r="358" spans="2:10" ht="15.5">
      <c r="B358" s="19"/>
      <c r="C358" s="19"/>
      <c r="D358" s="19"/>
      <c r="E358" s="19"/>
      <c r="F358" s="19"/>
      <c r="G358" s="19"/>
      <c r="H358" s="19"/>
      <c r="I358" s="19"/>
      <c r="J358" s="19"/>
    </row>
    <row r="359" spans="2:10" ht="15.5">
      <c r="B359" s="19"/>
      <c r="C359" s="19"/>
      <c r="D359" s="19"/>
      <c r="E359" s="19"/>
      <c r="F359" s="19"/>
      <c r="G359" s="19"/>
      <c r="H359" s="19"/>
      <c r="I359" s="19"/>
      <c r="J359" s="19"/>
    </row>
    <row r="360" spans="2:10" ht="15.5">
      <c r="B360" s="19"/>
      <c r="C360" s="19"/>
      <c r="D360" s="19"/>
      <c r="E360" s="19"/>
      <c r="F360" s="19"/>
      <c r="G360" s="19"/>
      <c r="H360" s="19"/>
      <c r="I360" s="19"/>
      <c r="J360" s="19"/>
    </row>
    <row r="361" spans="2:10" ht="15.5">
      <c r="B361" s="19"/>
      <c r="C361" s="19"/>
      <c r="D361" s="19"/>
      <c r="E361" s="19"/>
      <c r="F361" s="19"/>
      <c r="G361" s="19"/>
      <c r="H361" s="19"/>
      <c r="I361" s="19"/>
      <c r="J361" s="19"/>
    </row>
    <row r="362" spans="2:10" ht="15.5">
      <c r="B362" s="19"/>
      <c r="C362" s="19"/>
      <c r="D362" s="19"/>
      <c r="E362" s="19"/>
      <c r="F362" s="19"/>
      <c r="G362" s="19"/>
      <c r="H362" s="19"/>
      <c r="I362" s="19"/>
      <c r="J362" s="19"/>
    </row>
    <row r="363" spans="2:10" ht="15.5">
      <c r="B363" s="19"/>
      <c r="C363" s="19"/>
      <c r="D363" s="19"/>
      <c r="E363" s="19"/>
      <c r="F363" s="19"/>
      <c r="G363" s="19"/>
      <c r="H363" s="19"/>
      <c r="I363" s="19"/>
      <c r="J363" s="19"/>
    </row>
    <row r="364" spans="2:10" ht="15.5">
      <c r="B364" s="19"/>
      <c r="C364" s="19"/>
      <c r="D364" s="19"/>
      <c r="E364" s="19"/>
      <c r="F364" s="19"/>
      <c r="G364" s="19"/>
      <c r="H364" s="19"/>
      <c r="I364" s="19"/>
      <c r="J364" s="19"/>
    </row>
    <row r="365" spans="2:10" ht="15.5">
      <c r="B365" s="19"/>
      <c r="C365" s="19"/>
      <c r="D365" s="19"/>
      <c r="E365" s="19"/>
      <c r="F365" s="19"/>
      <c r="G365" s="19"/>
      <c r="H365" s="19"/>
      <c r="I365" s="19"/>
      <c r="J365" s="19"/>
    </row>
    <row r="366" spans="2:10" ht="15.5">
      <c r="B366" s="19"/>
      <c r="C366" s="19"/>
      <c r="D366" s="19"/>
      <c r="E366" s="19"/>
      <c r="F366" s="19"/>
      <c r="G366" s="19"/>
      <c r="H366" s="19"/>
      <c r="I366" s="19"/>
      <c r="J366" s="19"/>
    </row>
    <row r="367" spans="2:10" ht="15.5">
      <c r="B367" s="19"/>
      <c r="C367" s="19"/>
      <c r="D367" s="19"/>
      <c r="E367" s="19"/>
      <c r="F367" s="19"/>
      <c r="G367" s="19"/>
      <c r="H367" s="19"/>
      <c r="I367" s="19"/>
      <c r="J367" s="19"/>
    </row>
    <row r="368" spans="2:10" ht="15.5">
      <c r="B368" s="19"/>
      <c r="C368" s="19"/>
      <c r="D368" s="19"/>
      <c r="E368" s="19"/>
      <c r="F368" s="19"/>
      <c r="G368" s="19"/>
      <c r="H368" s="19"/>
      <c r="I368" s="19"/>
      <c r="J368" s="19"/>
    </row>
    <row r="369" spans="2:10" ht="15.5">
      <c r="B369" s="19"/>
      <c r="C369" s="19"/>
      <c r="D369" s="19"/>
      <c r="E369" s="19"/>
      <c r="F369" s="19"/>
      <c r="G369" s="19"/>
      <c r="H369" s="19"/>
      <c r="I369" s="19"/>
      <c r="J369" s="19"/>
    </row>
    <row r="370" spans="2:10" ht="15.5">
      <c r="B370" s="19"/>
      <c r="C370" s="19"/>
      <c r="D370" s="19"/>
      <c r="E370" s="19"/>
      <c r="F370" s="19"/>
      <c r="G370" s="19"/>
      <c r="H370" s="19"/>
      <c r="I370" s="19"/>
      <c r="J370" s="19"/>
    </row>
    <row r="371" spans="2:10" ht="15.5">
      <c r="B371" s="19"/>
      <c r="C371" s="19"/>
      <c r="D371" s="19"/>
      <c r="E371" s="19"/>
      <c r="F371" s="19"/>
      <c r="G371" s="19"/>
      <c r="H371" s="19"/>
      <c r="I371" s="19"/>
      <c r="J371" s="19"/>
    </row>
    <row r="372" spans="2:10" ht="15.5">
      <c r="B372" s="19"/>
      <c r="C372" s="19"/>
      <c r="D372" s="19"/>
      <c r="E372" s="19"/>
      <c r="F372" s="19"/>
      <c r="G372" s="19"/>
      <c r="H372" s="19"/>
      <c r="I372" s="19"/>
      <c r="J372" s="19"/>
    </row>
    <row r="373" spans="2:10" ht="15.5">
      <c r="B373" s="19"/>
      <c r="C373" s="19"/>
      <c r="D373" s="19"/>
      <c r="E373" s="19"/>
      <c r="F373" s="19"/>
      <c r="G373" s="19"/>
      <c r="H373" s="19"/>
      <c r="I373" s="19"/>
      <c r="J373" s="19"/>
    </row>
    <row r="374" spans="2:10" ht="15.5">
      <c r="B374" s="19"/>
      <c r="C374" s="19"/>
      <c r="D374" s="19"/>
      <c r="E374" s="19"/>
      <c r="F374" s="19"/>
      <c r="G374" s="19"/>
      <c r="H374" s="19"/>
      <c r="I374" s="19"/>
      <c r="J374" s="19"/>
    </row>
    <row r="375" spans="2:10" ht="15.5">
      <c r="B375" s="19"/>
      <c r="C375" s="19"/>
      <c r="D375" s="19"/>
      <c r="E375" s="19"/>
      <c r="F375" s="19"/>
      <c r="G375" s="19"/>
      <c r="H375" s="19"/>
      <c r="I375" s="19"/>
      <c r="J375" s="19"/>
    </row>
    <row r="376" spans="2:10" ht="15.5">
      <c r="B376" s="19"/>
      <c r="C376" s="19"/>
      <c r="D376" s="19"/>
      <c r="E376" s="19"/>
      <c r="F376" s="19"/>
      <c r="G376" s="19"/>
      <c r="H376" s="19"/>
      <c r="I376" s="19"/>
      <c r="J376" s="19"/>
    </row>
    <row r="377" spans="2:10" ht="15.5">
      <c r="B377" s="19"/>
      <c r="C377" s="19"/>
      <c r="D377" s="19"/>
      <c r="E377" s="19"/>
      <c r="F377" s="19"/>
      <c r="G377" s="19"/>
      <c r="H377" s="19"/>
      <c r="I377" s="19"/>
      <c r="J377" s="19"/>
    </row>
    <row r="378" spans="2:10" ht="15.5">
      <c r="B378" s="19"/>
      <c r="C378" s="19"/>
      <c r="D378" s="19"/>
      <c r="E378" s="19"/>
      <c r="F378" s="19"/>
      <c r="G378" s="19"/>
      <c r="H378" s="19"/>
      <c r="I378" s="19"/>
      <c r="J378" s="19"/>
    </row>
    <row r="379" spans="2:10" ht="15.5">
      <c r="B379" s="19"/>
      <c r="C379" s="19"/>
      <c r="D379" s="19"/>
      <c r="E379" s="19"/>
      <c r="F379" s="19"/>
      <c r="G379" s="19"/>
      <c r="H379" s="19"/>
      <c r="I379" s="19"/>
      <c r="J379" s="19"/>
    </row>
    <row r="380" spans="2:10" ht="15.5">
      <c r="B380" s="19"/>
      <c r="C380" s="19"/>
      <c r="D380" s="19"/>
      <c r="E380" s="19"/>
      <c r="F380" s="19"/>
      <c r="G380" s="19"/>
      <c r="H380" s="19"/>
      <c r="I380" s="19"/>
      <c r="J380" s="19"/>
    </row>
    <row r="381" spans="2:10" ht="15.5">
      <c r="B381" s="19"/>
      <c r="C381" s="19"/>
      <c r="D381" s="19"/>
      <c r="E381" s="19"/>
      <c r="F381" s="19"/>
      <c r="G381" s="19"/>
      <c r="H381" s="19"/>
      <c r="I381" s="19"/>
      <c r="J381" s="19"/>
    </row>
    <row r="382" spans="2:10" ht="15.5">
      <c r="B382" s="19"/>
      <c r="C382" s="19"/>
      <c r="D382" s="19"/>
      <c r="E382" s="19"/>
      <c r="F382" s="19"/>
      <c r="G382" s="19"/>
      <c r="H382" s="19"/>
      <c r="I382" s="19"/>
      <c r="J382" s="19"/>
    </row>
    <row r="383" spans="2:10" ht="15.5">
      <c r="B383" s="19"/>
      <c r="C383" s="19"/>
      <c r="D383" s="19"/>
      <c r="E383" s="19"/>
      <c r="F383" s="19"/>
      <c r="G383" s="19"/>
      <c r="H383" s="19"/>
      <c r="I383" s="19"/>
      <c r="J383" s="19"/>
    </row>
    <row r="384" spans="2:10" ht="15.5">
      <c r="B384" s="19"/>
      <c r="C384" s="19"/>
      <c r="D384" s="19"/>
      <c r="E384" s="19"/>
      <c r="F384" s="19"/>
      <c r="G384" s="19"/>
      <c r="H384" s="19"/>
      <c r="I384" s="19"/>
      <c r="J384" s="19"/>
    </row>
    <row r="385" spans="2:10" ht="15.5">
      <c r="B385" s="19"/>
      <c r="C385" s="19"/>
      <c r="D385" s="19"/>
      <c r="E385" s="19"/>
      <c r="F385" s="19"/>
      <c r="G385" s="19"/>
      <c r="H385" s="19"/>
      <c r="I385" s="19"/>
      <c r="J385" s="19"/>
    </row>
    <row r="386" spans="2:10" ht="15.5">
      <c r="B386" s="19"/>
      <c r="C386" s="19"/>
      <c r="D386" s="19"/>
      <c r="E386" s="19"/>
      <c r="F386" s="19"/>
      <c r="G386" s="19"/>
      <c r="H386" s="19"/>
      <c r="I386" s="19"/>
      <c r="J386" s="19"/>
    </row>
    <row r="387" spans="2:10" ht="15.5">
      <c r="B387" s="19"/>
      <c r="C387" s="19"/>
      <c r="D387" s="19"/>
      <c r="E387" s="19"/>
      <c r="F387" s="19"/>
      <c r="G387" s="19"/>
      <c r="H387" s="19"/>
      <c r="I387" s="19"/>
      <c r="J387" s="19"/>
    </row>
    <row r="388" spans="2:10" ht="15.5">
      <c r="B388" s="19"/>
      <c r="C388" s="19"/>
      <c r="D388" s="19"/>
      <c r="E388" s="19"/>
      <c r="F388" s="19"/>
      <c r="G388" s="19"/>
      <c r="H388" s="19"/>
      <c r="I388" s="19"/>
      <c r="J388" s="19"/>
    </row>
    <row r="389" spans="2:10" ht="15.5">
      <c r="B389" s="19"/>
      <c r="C389" s="19"/>
      <c r="D389" s="19"/>
      <c r="E389" s="19"/>
      <c r="F389" s="19"/>
      <c r="G389" s="19"/>
      <c r="H389" s="19"/>
      <c r="I389" s="19"/>
      <c r="J389" s="19"/>
    </row>
    <row r="390" spans="2:10" ht="15.5">
      <c r="B390" s="19"/>
      <c r="C390" s="19"/>
      <c r="D390" s="19"/>
      <c r="E390" s="19"/>
      <c r="F390" s="19"/>
      <c r="G390" s="19"/>
      <c r="H390" s="19"/>
      <c r="I390" s="19"/>
      <c r="J390" s="19"/>
    </row>
    <row r="391" spans="2:10" ht="15.5">
      <c r="B391" s="19"/>
      <c r="C391" s="19"/>
      <c r="D391" s="19"/>
      <c r="E391" s="19"/>
      <c r="F391" s="19"/>
      <c r="G391" s="19"/>
      <c r="H391" s="19"/>
      <c r="I391" s="19"/>
      <c r="J391" s="19"/>
    </row>
    <row r="392" spans="2:10" ht="15.5">
      <c r="B392" s="19"/>
      <c r="C392" s="19"/>
      <c r="D392" s="19"/>
      <c r="E392" s="19"/>
      <c r="F392" s="19"/>
      <c r="G392" s="19"/>
      <c r="H392" s="19"/>
      <c r="I392" s="19"/>
      <c r="J392" s="19"/>
    </row>
    <row r="393" spans="2:10" ht="15.5">
      <c r="B393" s="19"/>
      <c r="C393" s="19"/>
      <c r="D393" s="19"/>
      <c r="E393" s="19"/>
      <c r="F393" s="19"/>
      <c r="G393" s="19"/>
      <c r="H393" s="19"/>
      <c r="I393" s="19"/>
      <c r="J393" s="19"/>
    </row>
    <row r="394" spans="2:10" ht="15.5">
      <c r="B394" s="19"/>
      <c r="C394" s="19"/>
      <c r="D394" s="19"/>
      <c r="E394" s="19"/>
      <c r="F394" s="19"/>
      <c r="G394" s="19"/>
      <c r="H394" s="19"/>
      <c r="I394" s="19"/>
      <c r="J394" s="19"/>
    </row>
    <row r="395" spans="2:10" ht="15.5">
      <c r="B395" s="19"/>
      <c r="C395" s="19"/>
      <c r="D395" s="19"/>
      <c r="E395" s="19"/>
      <c r="F395" s="19"/>
      <c r="G395" s="19"/>
      <c r="H395" s="19"/>
      <c r="I395" s="19"/>
      <c r="J395" s="19"/>
    </row>
    <row r="396" spans="2:10" ht="15.5">
      <c r="B396" s="19"/>
      <c r="C396" s="19"/>
      <c r="D396" s="19"/>
      <c r="E396" s="19"/>
      <c r="F396" s="19"/>
      <c r="G396" s="19"/>
      <c r="H396" s="19"/>
      <c r="I396" s="19"/>
      <c r="J396" s="19"/>
    </row>
    <row r="397" spans="2:10" ht="15.5">
      <c r="B397" s="19"/>
      <c r="C397" s="19"/>
      <c r="D397" s="19"/>
      <c r="E397" s="19"/>
      <c r="F397" s="19"/>
      <c r="G397" s="19"/>
      <c r="H397" s="19"/>
      <c r="I397" s="19"/>
      <c r="J397" s="19"/>
    </row>
    <row r="398" spans="2:10" ht="15.5">
      <c r="B398" s="19"/>
      <c r="C398" s="19"/>
      <c r="D398" s="19"/>
      <c r="E398" s="19"/>
      <c r="F398" s="19"/>
      <c r="G398" s="19"/>
      <c r="H398" s="19"/>
      <c r="I398" s="19"/>
      <c r="J398" s="19"/>
    </row>
    <row r="399" spans="2:10" ht="15.5">
      <c r="B399" s="19"/>
      <c r="C399" s="19"/>
      <c r="D399" s="19"/>
      <c r="E399" s="19"/>
      <c r="F399" s="19"/>
      <c r="G399" s="19"/>
      <c r="H399" s="19"/>
      <c r="I399" s="19"/>
      <c r="J399" s="19"/>
    </row>
    <row r="400" spans="2:10" ht="15.5">
      <c r="B400" s="19"/>
      <c r="C400" s="19"/>
      <c r="D400" s="19"/>
      <c r="E400" s="19"/>
      <c r="F400" s="19"/>
      <c r="G400" s="19"/>
      <c r="H400" s="19"/>
      <c r="I400" s="19"/>
      <c r="J400" s="19"/>
    </row>
    <row r="401" spans="2:10" ht="15.5">
      <c r="B401" s="19"/>
      <c r="C401" s="19"/>
      <c r="D401" s="19"/>
      <c r="E401" s="19"/>
      <c r="F401" s="19"/>
      <c r="G401" s="19"/>
      <c r="H401" s="19"/>
      <c r="I401" s="19"/>
      <c r="J401" s="19"/>
    </row>
    <row r="402" spans="2:10" ht="15.5">
      <c r="B402" s="19"/>
      <c r="C402" s="19"/>
      <c r="D402" s="19"/>
      <c r="E402" s="19"/>
      <c r="F402" s="19"/>
      <c r="G402" s="19"/>
      <c r="H402" s="19"/>
      <c r="I402" s="19"/>
      <c r="J402" s="19"/>
    </row>
    <row r="403" spans="2:10" ht="15.5">
      <c r="B403" s="19"/>
      <c r="C403" s="19"/>
      <c r="D403" s="19"/>
      <c r="E403" s="19"/>
      <c r="F403" s="19"/>
      <c r="G403" s="19"/>
      <c r="H403" s="19"/>
      <c r="I403" s="19"/>
      <c r="J403" s="19"/>
    </row>
    <row r="404" spans="2:10" ht="15.5">
      <c r="B404" s="19"/>
      <c r="C404" s="19"/>
      <c r="D404" s="19"/>
      <c r="E404" s="19"/>
      <c r="F404" s="19"/>
      <c r="G404" s="19"/>
      <c r="H404" s="19"/>
      <c r="I404" s="19"/>
      <c r="J404" s="19"/>
    </row>
    <row r="405" spans="2:10" ht="15.5">
      <c r="B405" s="19"/>
      <c r="C405" s="19"/>
      <c r="D405" s="19"/>
      <c r="E405" s="19"/>
      <c r="F405" s="19"/>
      <c r="G405" s="19"/>
      <c r="H405" s="19"/>
      <c r="I405" s="19"/>
      <c r="J405" s="19"/>
    </row>
    <row r="406" spans="2:10" ht="15.5">
      <c r="B406" s="19"/>
      <c r="C406" s="19"/>
      <c r="D406" s="19"/>
      <c r="E406" s="19"/>
      <c r="F406" s="19"/>
      <c r="G406" s="19"/>
      <c r="H406" s="19"/>
      <c r="I406" s="19"/>
      <c r="J406" s="19"/>
    </row>
    <row r="407" spans="2:10" ht="15.5">
      <c r="B407" s="19"/>
      <c r="C407" s="19"/>
      <c r="D407" s="19"/>
      <c r="E407" s="19"/>
      <c r="F407" s="19"/>
      <c r="G407" s="19"/>
      <c r="H407" s="19"/>
      <c r="I407" s="19"/>
      <c r="J407" s="19"/>
    </row>
    <row r="408" spans="2:10" ht="15.5">
      <c r="B408" s="19"/>
      <c r="C408" s="19"/>
      <c r="D408" s="19"/>
      <c r="E408" s="19"/>
      <c r="F408" s="19"/>
      <c r="G408" s="19"/>
      <c r="H408" s="19"/>
      <c r="I408" s="19"/>
      <c r="J408" s="19"/>
    </row>
    <row r="409" spans="2:10" ht="15.5">
      <c r="B409" s="19"/>
      <c r="C409" s="19"/>
      <c r="D409" s="19"/>
      <c r="E409" s="19"/>
      <c r="F409" s="19"/>
      <c r="G409" s="19"/>
      <c r="H409" s="19"/>
      <c r="I409" s="19"/>
      <c r="J409" s="19"/>
    </row>
    <row r="410" spans="2:10" ht="15.5">
      <c r="B410" s="19"/>
      <c r="C410" s="19"/>
      <c r="D410" s="19"/>
      <c r="E410" s="19"/>
      <c r="F410" s="19"/>
      <c r="G410" s="19"/>
      <c r="H410" s="19"/>
      <c r="I410" s="19"/>
      <c r="J410" s="19"/>
    </row>
    <row r="411" spans="2:10" ht="15.5">
      <c r="B411" s="19"/>
      <c r="C411" s="19"/>
      <c r="D411" s="19"/>
      <c r="E411" s="19"/>
      <c r="F411" s="19"/>
      <c r="G411" s="19"/>
      <c r="H411" s="19"/>
      <c r="I411" s="19"/>
      <c r="J411" s="19"/>
    </row>
    <row r="412" spans="2:10" ht="15.5">
      <c r="B412" s="19"/>
      <c r="C412" s="19"/>
      <c r="D412" s="19"/>
      <c r="E412" s="19"/>
      <c r="F412" s="19"/>
      <c r="G412" s="19"/>
      <c r="H412" s="19"/>
      <c r="I412" s="19"/>
      <c r="J412" s="19"/>
    </row>
    <row r="413" spans="2:10" ht="15.5">
      <c r="B413" s="19"/>
      <c r="C413" s="19"/>
      <c r="D413" s="19"/>
      <c r="E413" s="19"/>
      <c r="F413" s="19"/>
      <c r="G413" s="19"/>
      <c r="H413" s="19"/>
      <c r="I413" s="19"/>
      <c r="J413" s="19"/>
    </row>
    <row r="414" spans="2:10" ht="15.5">
      <c r="B414" s="19"/>
      <c r="C414" s="19"/>
      <c r="D414" s="19"/>
      <c r="E414" s="19"/>
      <c r="F414" s="19"/>
      <c r="G414" s="19"/>
      <c r="H414" s="19"/>
      <c r="I414" s="19"/>
      <c r="J414" s="19"/>
    </row>
    <row r="415" spans="2:10" ht="15.5">
      <c r="B415" s="19"/>
      <c r="C415" s="19"/>
      <c r="D415" s="19"/>
      <c r="E415" s="19"/>
      <c r="F415" s="19"/>
      <c r="G415" s="19"/>
      <c r="H415" s="19"/>
      <c r="I415" s="19"/>
      <c r="J415" s="19"/>
    </row>
    <row r="416" spans="2:10" ht="15.5">
      <c r="B416" s="19"/>
      <c r="C416" s="19"/>
      <c r="D416" s="19"/>
      <c r="E416" s="19"/>
      <c r="F416" s="19"/>
      <c r="G416" s="19"/>
      <c r="H416" s="19"/>
      <c r="I416" s="19"/>
      <c r="J416" s="19"/>
    </row>
    <row r="417" spans="2:10" ht="15.5">
      <c r="B417" s="19"/>
      <c r="C417" s="19"/>
      <c r="D417" s="19"/>
      <c r="E417" s="19"/>
      <c r="F417" s="19"/>
      <c r="G417" s="19"/>
      <c r="H417" s="19"/>
      <c r="I417" s="19"/>
      <c r="J417" s="19"/>
    </row>
    <row r="418" spans="2:10" ht="15.5">
      <c r="B418" s="19"/>
      <c r="C418" s="19"/>
      <c r="D418" s="19"/>
      <c r="E418" s="19"/>
      <c r="F418" s="19"/>
      <c r="G418" s="19"/>
      <c r="H418" s="19"/>
      <c r="I418" s="19"/>
      <c r="J418" s="19"/>
    </row>
    <row r="419" spans="2:10" ht="15.5">
      <c r="B419" s="19"/>
      <c r="C419" s="19"/>
      <c r="D419" s="19"/>
      <c r="E419" s="19"/>
      <c r="F419" s="19"/>
      <c r="G419" s="19"/>
      <c r="H419" s="19"/>
      <c r="I419" s="19"/>
      <c r="J419" s="19"/>
    </row>
    <row r="420" spans="2:10" ht="15.5">
      <c r="B420" s="19"/>
      <c r="C420" s="19"/>
      <c r="D420" s="19"/>
      <c r="E420" s="19"/>
      <c r="F420" s="19"/>
      <c r="G420" s="19"/>
      <c r="H420" s="19"/>
      <c r="I420" s="19"/>
      <c r="J420" s="19"/>
    </row>
    <row r="421" spans="2:10" ht="15.5">
      <c r="B421" s="19"/>
      <c r="C421" s="19"/>
      <c r="D421" s="19"/>
      <c r="E421" s="19"/>
      <c r="F421" s="19"/>
      <c r="G421" s="19"/>
      <c r="H421" s="19"/>
      <c r="I421" s="19"/>
      <c r="J421" s="19"/>
    </row>
    <row r="422" spans="2:10" ht="15.5">
      <c r="B422" s="19"/>
      <c r="C422" s="19"/>
      <c r="D422" s="19"/>
      <c r="E422" s="19"/>
      <c r="F422" s="19"/>
      <c r="G422" s="19"/>
      <c r="H422" s="19"/>
      <c r="I422" s="19"/>
      <c r="J422" s="19"/>
    </row>
    <row r="423" spans="2:10" ht="15.5">
      <c r="B423" s="19"/>
      <c r="C423" s="19"/>
      <c r="D423" s="19"/>
      <c r="E423" s="19"/>
      <c r="F423" s="19"/>
      <c r="G423" s="19"/>
      <c r="H423" s="19"/>
      <c r="I423" s="19"/>
      <c r="J423" s="19"/>
    </row>
    <row r="424" spans="2:10" ht="15.5">
      <c r="B424" s="19"/>
      <c r="C424" s="19"/>
      <c r="D424" s="19"/>
      <c r="E424" s="19"/>
      <c r="F424" s="19"/>
      <c r="G424" s="19"/>
      <c r="H424" s="19"/>
      <c r="I424" s="19"/>
      <c r="J424" s="19"/>
    </row>
    <row r="425" spans="2:10" ht="15.5">
      <c r="B425" s="19"/>
      <c r="C425" s="19"/>
      <c r="D425" s="19"/>
      <c r="E425" s="19"/>
      <c r="F425" s="19"/>
      <c r="G425" s="19"/>
      <c r="H425" s="19"/>
      <c r="I425" s="19"/>
      <c r="J425" s="19"/>
    </row>
    <row r="426" spans="2:10" ht="15.5">
      <c r="B426" s="19"/>
      <c r="C426" s="19"/>
      <c r="D426" s="19"/>
      <c r="E426" s="19"/>
      <c r="F426" s="19"/>
      <c r="G426" s="19"/>
      <c r="H426" s="19"/>
      <c r="I426" s="19"/>
      <c r="J426" s="19"/>
    </row>
    <row r="427" spans="2:10" ht="15.5">
      <c r="B427" s="19"/>
      <c r="C427" s="19"/>
      <c r="D427" s="19"/>
      <c r="E427" s="19"/>
      <c r="F427" s="19"/>
      <c r="G427" s="19"/>
      <c r="H427" s="19"/>
      <c r="I427" s="19"/>
      <c r="J427" s="19"/>
    </row>
    <row r="428" spans="2:10" ht="15.5">
      <c r="B428" s="19"/>
      <c r="C428" s="19"/>
      <c r="D428" s="19"/>
      <c r="E428" s="19"/>
      <c r="F428" s="19"/>
      <c r="G428" s="19"/>
      <c r="H428" s="19"/>
      <c r="I428" s="19"/>
      <c r="J428" s="19"/>
    </row>
    <row r="429" spans="2:10" ht="15.5">
      <c r="B429" s="19"/>
      <c r="C429" s="19"/>
      <c r="D429" s="19"/>
      <c r="E429" s="19"/>
      <c r="F429" s="19"/>
      <c r="G429" s="19"/>
      <c r="H429" s="19"/>
      <c r="I429" s="19"/>
      <c r="J429" s="19"/>
    </row>
    <row r="430" spans="2:10" ht="15.5">
      <c r="B430" s="19"/>
      <c r="C430" s="19"/>
      <c r="D430" s="19"/>
      <c r="E430" s="19"/>
      <c r="F430" s="19"/>
      <c r="G430" s="19"/>
      <c r="H430" s="19"/>
      <c r="I430" s="19"/>
      <c r="J430" s="19"/>
    </row>
    <row r="431" spans="2:10" ht="15.5">
      <c r="B431" s="19"/>
      <c r="C431" s="19"/>
      <c r="D431" s="19"/>
      <c r="E431" s="19"/>
      <c r="F431" s="19"/>
      <c r="G431" s="19"/>
      <c r="H431" s="19"/>
      <c r="I431" s="19"/>
      <c r="J431" s="19"/>
    </row>
    <row r="432" spans="2:10" ht="15.5">
      <c r="B432" s="19"/>
      <c r="C432" s="19"/>
      <c r="D432" s="19"/>
      <c r="E432" s="19"/>
      <c r="F432" s="19"/>
      <c r="G432" s="19"/>
      <c r="H432" s="19"/>
      <c r="I432" s="19"/>
      <c r="J432" s="19"/>
    </row>
    <row r="433" spans="2:10" ht="15.5">
      <c r="B433" s="19"/>
      <c r="C433" s="19"/>
      <c r="D433" s="19"/>
      <c r="E433" s="19"/>
      <c r="F433" s="19"/>
      <c r="G433" s="19"/>
      <c r="H433" s="19"/>
      <c r="I433" s="19"/>
      <c r="J433" s="19"/>
    </row>
    <row r="434" spans="2:10" ht="15.5">
      <c r="B434" s="19"/>
      <c r="C434" s="19"/>
      <c r="D434" s="19"/>
      <c r="E434" s="19"/>
      <c r="F434" s="19"/>
      <c r="G434" s="19"/>
      <c r="H434" s="19"/>
      <c r="I434" s="19"/>
      <c r="J434" s="19"/>
    </row>
    <row r="435" spans="2:10" ht="15.5">
      <c r="B435" s="19"/>
      <c r="C435" s="19"/>
      <c r="D435" s="19"/>
      <c r="E435" s="19"/>
      <c r="F435" s="19"/>
      <c r="G435" s="19"/>
      <c r="H435" s="19"/>
      <c r="I435" s="19"/>
      <c r="J435" s="19"/>
    </row>
    <row r="436" spans="2:10" ht="15.5">
      <c r="B436" s="19"/>
      <c r="C436" s="19"/>
      <c r="D436" s="19"/>
      <c r="E436" s="19"/>
      <c r="F436" s="19"/>
      <c r="G436" s="19"/>
      <c r="H436" s="19"/>
      <c r="I436" s="19"/>
      <c r="J436" s="19"/>
    </row>
    <row r="437" spans="2:10" ht="15.5">
      <c r="B437" s="19"/>
      <c r="C437" s="19"/>
      <c r="D437" s="19"/>
      <c r="E437" s="19"/>
      <c r="F437" s="19"/>
      <c r="G437" s="19"/>
      <c r="H437" s="19"/>
      <c r="I437" s="19"/>
      <c r="J437" s="19"/>
    </row>
    <row r="438" spans="2:10" ht="15.5">
      <c r="B438" s="19"/>
      <c r="C438" s="19"/>
      <c r="D438" s="19"/>
      <c r="E438" s="19"/>
      <c r="F438" s="19"/>
      <c r="G438" s="19"/>
      <c r="H438" s="19"/>
      <c r="I438" s="19"/>
      <c r="J438" s="19"/>
    </row>
    <row r="439" spans="2:10" ht="15.5">
      <c r="B439" s="19"/>
      <c r="C439" s="19"/>
      <c r="D439" s="19"/>
      <c r="E439" s="19"/>
      <c r="F439" s="19"/>
      <c r="G439" s="19"/>
      <c r="H439" s="19"/>
      <c r="I439" s="19"/>
      <c r="J439" s="19"/>
    </row>
    <row r="440" spans="2:10" ht="15.5">
      <c r="B440" s="19"/>
      <c r="C440" s="19"/>
      <c r="D440" s="19"/>
      <c r="E440" s="19"/>
      <c r="F440" s="19"/>
      <c r="G440" s="19"/>
      <c r="H440" s="19"/>
      <c r="I440" s="19"/>
      <c r="J440" s="19"/>
    </row>
    <row r="441" spans="2:10" ht="15.5">
      <c r="B441" s="19"/>
      <c r="C441" s="19"/>
      <c r="D441" s="19"/>
      <c r="E441" s="19"/>
      <c r="F441" s="19"/>
      <c r="G441" s="19"/>
      <c r="H441" s="19"/>
      <c r="I441" s="19"/>
      <c r="J441" s="19"/>
    </row>
    <row r="442" spans="2:10" ht="15.5">
      <c r="B442" s="19"/>
      <c r="C442" s="19"/>
      <c r="D442" s="19"/>
      <c r="E442" s="19"/>
      <c r="F442" s="19"/>
      <c r="G442" s="19"/>
      <c r="H442" s="19"/>
      <c r="I442" s="19"/>
      <c r="J442" s="19"/>
    </row>
    <row r="443" spans="2:10" ht="15.5">
      <c r="B443" s="19"/>
      <c r="C443" s="19"/>
      <c r="D443" s="19"/>
      <c r="E443" s="19"/>
      <c r="F443" s="19"/>
      <c r="G443" s="19"/>
      <c r="H443" s="19"/>
      <c r="I443" s="19"/>
      <c r="J443" s="19"/>
    </row>
    <row r="444" spans="2:10" ht="15.5">
      <c r="B444" s="19"/>
      <c r="C444" s="19"/>
      <c r="D444" s="19"/>
      <c r="E444" s="19"/>
      <c r="F444" s="19"/>
      <c r="G444" s="19"/>
      <c r="H444" s="19"/>
      <c r="I444" s="19"/>
      <c r="J444" s="19"/>
    </row>
    <row r="445" spans="2:10" ht="15.5">
      <c r="B445" s="19"/>
      <c r="C445" s="19"/>
      <c r="D445" s="19"/>
      <c r="E445" s="19"/>
      <c r="F445" s="19"/>
      <c r="G445" s="19"/>
      <c r="H445" s="19"/>
      <c r="I445" s="19"/>
      <c r="J445" s="19"/>
    </row>
    <row r="446" spans="2:10" ht="15.5">
      <c r="B446" s="19"/>
      <c r="C446" s="19"/>
      <c r="D446" s="19"/>
      <c r="E446" s="19"/>
      <c r="F446" s="19"/>
      <c r="G446" s="19"/>
      <c r="H446" s="19"/>
      <c r="I446" s="19"/>
      <c r="J446" s="19"/>
    </row>
    <row r="447" spans="2:10" ht="15.5">
      <c r="B447" s="19"/>
      <c r="C447" s="19"/>
      <c r="D447" s="19"/>
      <c r="E447" s="19"/>
      <c r="F447" s="19"/>
      <c r="G447" s="19"/>
      <c r="H447" s="19"/>
      <c r="I447" s="19"/>
      <c r="J447" s="19"/>
    </row>
    <row r="448" spans="2:10" ht="15.5">
      <c r="B448" s="19"/>
      <c r="C448" s="19"/>
      <c r="D448" s="19"/>
      <c r="E448" s="19"/>
      <c r="F448" s="19"/>
      <c r="G448" s="19"/>
      <c r="H448" s="19"/>
      <c r="I448" s="19"/>
      <c r="J448" s="19"/>
    </row>
    <row r="449" spans="2:10" ht="15.5">
      <c r="B449" s="19"/>
      <c r="C449" s="19"/>
      <c r="D449" s="19"/>
      <c r="E449" s="19"/>
      <c r="F449" s="19"/>
      <c r="G449" s="19"/>
      <c r="H449" s="19"/>
      <c r="I449" s="19"/>
      <c r="J449" s="19"/>
    </row>
    <row r="450" spans="2:10" ht="15.5">
      <c r="B450" s="19"/>
      <c r="C450" s="19"/>
      <c r="D450" s="19"/>
      <c r="E450" s="19"/>
      <c r="F450" s="19"/>
      <c r="G450" s="19"/>
      <c r="H450" s="19"/>
      <c r="I450" s="19"/>
      <c r="J450" s="19"/>
    </row>
    <row r="451" spans="2:10" ht="15.5">
      <c r="B451" s="19"/>
      <c r="C451" s="19"/>
      <c r="D451" s="19"/>
      <c r="E451" s="19"/>
      <c r="F451" s="19"/>
      <c r="G451" s="19"/>
      <c r="H451" s="19"/>
      <c r="I451" s="19"/>
      <c r="J451" s="19"/>
    </row>
    <row r="452" spans="2:10" ht="15.5">
      <c r="B452" s="19"/>
      <c r="C452" s="19"/>
      <c r="D452" s="19"/>
      <c r="E452" s="19"/>
      <c r="F452" s="19"/>
      <c r="G452" s="19"/>
      <c r="H452" s="19"/>
      <c r="I452" s="19"/>
      <c r="J452" s="19"/>
    </row>
    <row r="453" spans="2:10" ht="15.5">
      <c r="B453" s="19"/>
      <c r="C453" s="19"/>
      <c r="D453" s="19"/>
      <c r="E453" s="19"/>
      <c r="F453" s="19"/>
      <c r="G453" s="19"/>
      <c r="H453" s="19"/>
      <c r="I453" s="19"/>
      <c r="J453" s="19"/>
    </row>
    <row r="454" spans="2:10" ht="15.5">
      <c r="B454" s="19"/>
      <c r="C454" s="19"/>
      <c r="D454" s="19"/>
      <c r="E454" s="19"/>
      <c r="F454" s="19"/>
      <c r="G454" s="19"/>
      <c r="H454" s="19"/>
      <c r="I454" s="19"/>
      <c r="J454" s="19"/>
    </row>
    <row r="455" spans="2:10" ht="15.5">
      <c r="B455" s="19"/>
      <c r="C455" s="19"/>
      <c r="D455" s="19"/>
      <c r="E455" s="19"/>
      <c r="F455" s="19"/>
      <c r="G455" s="19"/>
      <c r="H455" s="19"/>
      <c r="I455" s="19"/>
      <c r="J455" s="19"/>
    </row>
    <row r="456" spans="2:10" ht="15.5">
      <c r="B456" s="19"/>
      <c r="C456" s="19"/>
      <c r="D456" s="19"/>
      <c r="E456" s="19"/>
      <c r="F456" s="19"/>
      <c r="G456" s="19"/>
      <c r="H456" s="19"/>
      <c r="I456" s="19"/>
      <c r="J456" s="19"/>
    </row>
    <row r="457" spans="2:10" ht="15.5">
      <c r="B457" s="19"/>
      <c r="C457" s="19"/>
      <c r="D457" s="19"/>
      <c r="E457" s="19"/>
      <c r="F457" s="19"/>
      <c r="G457" s="19"/>
      <c r="H457" s="19"/>
      <c r="I457" s="19"/>
      <c r="J457" s="19"/>
    </row>
    <row r="458" spans="2:10" ht="15.5">
      <c r="B458" s="19"/>
      <c r="C458" s="19"/>
      <c r="D458" s="19"/>
      <c r="E458" s="19"/>
      <c r="F458" s="19"/>
      <c r="G458" s="19"/>
      <c r="H458" s="19"/>
      <c r="I458" s="19"/>
      <c r="J458" s="19"/>
    </row>
    <row r="459" spans="2:10" ht="15.5">
      <c r="B459" s="19"/>
      <c r="C459" s="19"/>
      <c r="D459" s="19"/>
      <c r="E459" s="19"/>
      <c r="F459" s="19"/>
      <c r="G459" s="19"/>
      <c r="H459" s="19"/>
      <c r="I459" s="19"/>
      <c r="J459" s="19"/>
    </row>
    <row r="460" spans="2:10" ht="15.5">
      <c r="B460" s="19"/>
      <c r="C460" s="19"/>
      <c r="D460" s="19"/>
      <c r="E460" s="19"/>
      <c r="F460" s="19"/>
      <c r="G460" s="19"/>
      <c r="H460" s="19"/>
      <c r="I460" s="19"/>
      <c r="J460" s="19"/>
    </row>
    <row r="461" spans="2:10" ht="15.5">
      <c r="B461" s="19"/>
      <c r="C461" s="19"/>
      <c r="D461" s="19"/>
      <c r="E461" s="19"/>
      <c r="F461" s="19"/>
      <c r="G461" s="19"/>
      <c r="H461" s="19"/>
      <c r="I461" s="19"/>
      <c r="J461" s="19"/>
    </row>
    <row r="462" spans="2:10" ht="15.5">
      <c r="B462" s="19"/>
      <c r="C462" s="19"/>
      <c r="D462" s="19"/>
      <c r="E462" s="19"/>
      <c r="F462" s="19"/>
      <c r="G462" s="19"/>
      <c r="H462" s="19"/>
      <c r="I462" s="19"/>
      <c r="J462" s="19"/>
    </row>
    <row r="463" spans="2:10" ht="15.5">
      <c r="B463" s="19"/>
      <c r="C463" s="19"/>
      <c r="D463" s="19"/>
      <c r="E463" s="19"/>
      <c r="F463" s="19"/>
      <c r="G463" s="19"/>
      <c r="H463" s="19"/>
      <c r="I463" s="19"/>
      <c r="J463" s="19"/>
    </row>
    <row r="464" spans="2:10" ht="15.5">
      <c r="B464" s="19"/>
      <c r="C464" s="19"/>
      <c r="D464" s="19"/>
      <c r="E464" s="19"/>
      <c r="F464" s="19"/>
      <c r="G464" s="19"/>
      <c r="H464" s="19"/>
      <c r="I464" s="19"/>
      <c r="J464" s="19"/>
    </row>
    <row r="465" spans="2:10" ht="15.5">
      <c r="B465" s="19"/>
      <c r="C465" s="19"/>
      <c r="D465" s="19"/>
      <c r="E465" s="19"/>
      <c r="F465" s="19"/>
      <c r="G465" s="19"/>
      <c r="H465" s="19"/>
      <c r="I465" s="19"/>
      <c r="J465" s="19"/>
    </row>
    <row r="466" spans="2:10" ht="15.5">
      <c r="B466" s="19"/>
      <c r="C466" s="19"/>
      <c r="D466" s="19"/>
      <c r="E466" s="19"/>
      <c r="F466" s="19"/>
      <c r="G466" s="19"/>
      <c r="H466" s="19"/>
      <c r="I466" s="19"/>
      <c r="J466" s="19"/>
    </row>
    <row r="467" spans="2:10" ht="15.5">
      <c r="B467" s="19"/>
      <c r="C467" s="19"/>
      <c r="D467" s="19"/>
      <c r="E467" s="19"/>
      <c r="F467" s="19"/>
      <c r="G467" s="19"/>
      <c r="H467" s="19"/>
      <c r="I467" s="19"/>
      <c r="J467" s="19"/>
    </row>
    <row r="468" spans="2:10" ht="15.5">
      <c r="B468" s="19"/>
      <c r="C468" s="19"/>
      <c r="D468" s="19"/>
      <c r="E468" s="19"/>
      <c r="F468" s="19"/>
      <c r="G468" s="19"/>
      <c r="H468" s="19"/>
      <c r="I468" s="19"/>
      <c r="J468" s="19"/>
    </row>
    <row r="469" spans="2:10" ht="15.5">
      <c r="B469" s="19"/>
      <c r="C469" s="19"/>
      <c r="D469" s="19"/>
      <c r="E469" s="19"/>
      <c r="F469" s="19"/>
      <c r="G469" s="19"/>
      <c r="H469" s="19"/>
      <c r="I469" s="19"/>
      <c r="J469" s="19"/>
    </row>
    <row r="470" spans="2:10" ht="15.5">
      <c r="B470" s="19"/>
      <c r="C470" s="19"/>
      <c r="D470" s="19"/>
      <c r="E470" s="19"/>
      <c r="F470" s="19"/>
      <c r="G470" s="19"/>
      <c r="H470" s="19"/>
      <c r="I470" s="19"/>
      <c r="J470" s="19"/>
    </row>
    <row r="471" spans="2:10" ht="15.5">
      <c r="B471" s="19"/>
      <c r="C471" s="19"/>
      <c r="D471" s="19"/>
      <c r="E471" s="19"/>
      <c r="F471" s="19"/>
      <c r="G471" s="19"/>
      <c r="H471" s="19"/>
      <c r="I471" s="19"/>
      <c r="J471" s="19"/>
    </row>
    <row r="472" spans="2:10" ht="15.5">
      <c r="B472" s="19"/>
      <c r="C472" s="19"/>
      <c r="D472" s="19"/>
      <c r="E472" s="19"/>
      <c r="F472" s="19"/>
      <c r="G472" s="19"/>
      <c r="H472" s="19"/>
      <c r="I472" s="19"/>
      <c r="J472" s="19"/>
    </row>
    <row r="473" spans="2:10" ht="15.5">
      <c r="B473" s="19"/>
      <c r="C473" s="19"/>
      <c r="D473" s="19"/>
      <c r="E473" s="19"/>
      <c r="F473" s="19"/>
      <c r="G473" s="19"/>
      <c r="H473" s="19"/>
      <c r="I473" s="19"/>
      <c r="J473" s="19"/>
    </row>
    <row r="474" spans="2:10" ht="15.5">
      <c r="B474" s="19"/>
      <c r="C474" s="19"/>
      <c r="D474" s="19"/>
      <c r="E474" s="19"/>
      <c r="F474" s="19"/>
      <c r="G474" s="19"/>
      <c r="H474" s="19"/>
      <c r="I474" s="19"/>
      <c r="J474" s="19"/>
    </row>
    <row r="475" spans="2:10" ht="15.5">
      <c r="B475" s="19"/>
      <c r="C475" s="19"/>
      <c r="D475" s="19"/>
      <c r="E475" s="19"/>
      <c r="F475" s="19"/>
      <c r="G475" s="19"/>
      <c r="H475" s="19"/>
      <c r="I475" s="19"/>
      <c r="J475" s="19"/>
    </row>
    <row r="476" spans="2:10" ht="15.5">
      <c r="B476" s="19"/>
      <c r="C476" s="19"/>
      <c r="D476" s="19"/>
      <c r="E476" s="19"/>
      <c r="F476" s="19"/>
      <c r="G476" s="19"/>
      <c r="H476" s="19"/>
      <c r="I476" s="19"/>
      <c r="J476" s="19"/>
    </row>
    <row r="477" spans="2:10" ht="15.5">
      <c r="B477" s="19"/>
      <c r="C477" s="19"/>
      <c r="D477" s="19"/>
      <c r="E477" s="19"/>
      <c r="F477" s="19"/>
      <c r="G477" s="19"/>
      <c r="H477" s="19"/>
      <c r="I477" s="19"/>
      <c r="J477" s="19"/>
    </row>
    <row r="478" spans="2:10" ht="15.5">
      <c r="B478" s="19"/>
      <c r="C478" s="19"/>
      <c r="D478" s="19"/>
      <c r="E478" s="19"/>
      <c r="F478" s="19"/>
      <c r="G478" s="19"/>
      <c r="H478" s="19"/>
      <c r="I478" s="19"/>
      <c r="J478" s="19"/>
    </row>
    <row r="479" spans="2:10" ht="15.5">
      <c r="B479" s="19"/>
      <c r="C479" s="19"/>
      <c r="D479" s="19"/>
      <c r="E479" s="19"/>
      <c r="F479" s="19"/>
      <c r="G479" s="19"/>
      <c r="H479" s="19"/>
      <c r="I479" s="19"/>
      <c r="J479" s="19"/>
    </row>
    <row r="480" spans="2:10" ht="15.5">
      <c r="B480" s="19"/>
      <c r="C480" s="19"/>
      <c r="D480" s="19"/>
      <c r="E480" s="19"/>
      <c r="F480" s="19"/>
      <c r="G480" s="19"/>
      <c r="H480" s="19"/>
      <c r="I480" s="19"/>
      <c r="J480" s="19"/>
    </row>
    <row r="481" spans="2:10" ht="15.5">
      <c r="B481" s="19"/>
      <c r="C481" s="19"/>
      <c r="D481" s="19"/>
      <c r="E481" s="19"/>
      <c r="F481" s="19"/>
      <c r="G481" s="19"/>
      <c r="H481" s="19"/>
      <c r="I481" s="19"/>
      <c r="J481" s="19"/>
    </row>
    <row r="482" spans="2:10" ht="15.5">
      <c r="B482" s="19"/>
      <c r="C482" s="19"/>
      <c r="D482" s="19"/>
      <c r="E482" s="19"/>
      <c r="F482" s="19"/>
      <c r="G482" s="19"/>
      <c r="H482" s="19"/>
      <c r="I482" s="19"/>
      <c r="J482" s="19"/>
    </row>
    <row r="483" spans="2:10" ht="15.5">
      <c r="B483" s="19"/>
      <c r="C483" s="19"/>
      <c r="D483" s="19"/>
      <c r="E483" s="19"/>
      <c r="F483" s="19"/>
      <c r="G483" s="19"/>
      <c r="H483" s="19"/>
      <c r="I483" s="19"/>
      <c r="J483" s="19"/>
    </row>
    <row r="484" spans="2:10" ht="15.5">
      <c r="B484" s="19"/>
      <c r="C484" s="19"/>
      <c r="D484" s="19"/>
      <c r="E484" s="19"/>
      <c r="F484" s="19"/>
      <c r="G484" s="19"/>
      <c r="H484" s="19"/>
      <c r="I484" s="19"/>
      <c r="J484" s="19"/>
    </row>
    <row r="485" spans="2:10" ht="15.5">
      <c r="B485" s="19"/>
      <c r="C485" s="19"/>
      <c r="D485" s="19"/>
      <c r="E485" s="19"/>
      <c r="F485" s="19"/>
      <c r="G485" s="19"/>
      <c r="H485" s="19"/>
      <c r="I485" s="19"/>
      <c r="J485" s="19"/>
    </row>
    <row r="486" spans="2:10" ht="15.5">
      <c r="B486" s="19"/>
      <c r="C486" s="19"/>
      <c r="D486" s="19"/>
      <c r="E486" s="19"/>
      <c r="F486" s="19"/>
      <c r="G486" s="19"/>
      <c r="H486" s="19"/>
      <c r="I486" s="19"/>
      <c r="J486" s="19"/>
    </row>
    <row r="487" spans="2:10" ht="15.5">
      <c r="B487" s="19"/>
      <c r="C487" s="19"/>
      <c r="D487" s="19"/>
      <c r="E487" s="19"/>
      <c r="F487" s="19"/>
      <c r="G487" s="19"/>
      <c r="H487" s="19"/>
      <c r="I487" s="19"/>
      <c r="J487" s="19"/>
    </row>
    <row r="488" spans="2:10" ht="15.5">
      <c r="B488" s="19"/>
      <c r="C488" s="19"/>
      <c r="D488" s="19"/>
      <c r="E488" s="19"/>
      <c r="F488" s="19"/>
      <c r="G488" s="19"/>
      <c r="H488" s="19"/>
      <c r="I488" s="19"/>
      <c r="J488" s="19"/>
    </row>
    <row r="489" spans="2:10" ht="15.5">
      <c r="B489" s="19"/>
      <c r="C489" s="19"/>
      <c r="D489" s="19"/>
      <c r="E489" s="19"/>
      <c r="F489" s="19"/>
      <c r="G489" s="19"/>
      <c r="H489" s="19"/>
      <c r="I489" s="19"/>
      <c r="J489" s="19"/>
    </row>
    <row r="490" spans="2:10" ht="15.5">
      <c r="B490" s="19"/>
      <c r="C490" s="19"/>
      <c r="D490" s="19"/>
      <c r="E490" s="19"/>
      <c r="F490" s="19"/>
      <c r="G490" s="19"/>
      <c r="H490" s="19"/>
      <c r="I490" s="19"/>
      <c r="J490" s="19"/>
    </row>
    <row r="491" spans="2:10" ht="15.5">
      <c r="B491" s="19"/>
      <c r="C491" s="19"/>
      <c r="D491" s="19"/>
      <c r="E491" s="19"/>
      <c r="F491" s="19"/>
      <c r="G491" s="19"/>
      <c r="H491" s="19"/>
      <c r="I491" s="19"/>
      <c r="J491" s="19"/>
    </row>
    <row r="492" spans="2:10" ht="15.5">
      <c r="B492" s="19"/>
      <c r="C492" s="19"/>
      <c r="D492" s="19"/>
      <c r="E492" s="19"/>
      <c r="F492" s="19"/>
      <c r="G492" s="19"/>
      <c r="H492" s="19"/>
      <c r="I492" s="19"/>
      <c r="J492" s="19"/>
    </row>
    <row r="493" spans="2:10" ht="15.5">
      <c r="B493" s="19"/>
      <c r="C493" s="19"/>
      <c r="D493" s="19"/>
      <c r="E493" s="19"/>
      <c r="F493" s="19"/>
      <c r="G493" s="19"/>
      <c r="H493" s="19"/>
      <c r="I493" s="19"/>
      <c r="J493" s="19"/>
    </row>
    <row r="494" spans="2:10" ht="15.5">
      <c r="B494" s="19"/>
      <c r="C494" s="19"/>
      <c r="D494" s="19"/>
      <c r="E494" s="19"/>
      <c r="F494" s="19"/>
      <c r="G494" s="19"/>
      <c r="H494" s="19"/>
      <c r="I494" s="19"/>
      <c r="J494" s="19"/>
    </row>
    <row r="495" spans="2:10" ht="15.5">
      <c r="B495" s="19"/>
      <c r="C495" s="19"/>
      <c r="D495" s="19"/>
      <c r="E495" s="19"/>
      <c r="F495" s="19"/>
      <c r="G495" s="19"/>
      <c r="H495" s="19"/>
      <c r="I495" s="19"/>
      <c r="J495" s="19"/>
    </row>
    <row r="496" spans="2:10" ht="15.5">
      <c r="B496" s="19"/>
      <c r="C496" s="19"/>
      <c r="D496" s="19"/>
      <c r="E496" s="19"/>
      <c r="F496" s="19"/>
      <c r="G496" s="19"/>
      <c r="H496" s="19"/>
      <c r="I496" s="19"/>
      <c r="J496" s="19"/>
    </row>
    <row r="497" spans="2:10" ht="15.5">
      <c r="B497" s="19"/>
      <c r="C497" s="19"/>
      <c r="D497" s="19"/>
      <c r="E497" s="19"/>
      <c r="F497" s="19"/>
      <c r="G497" s="19"/>
      <c r="H497" s="19"/>
      <c r="I497" s="19"/>
      <c r="J497" s="19"/>
    </row>
    <row r="498" spans="2:10" ht="15.5">
      <c r="B498" s="19"/>
      <c r="C498" s="19"/>
      <c r="D498" s="19"/>
      <c r="E498" s="19"/>
      <c r="F498" s="19"/>
      <c r="G498" s="19"/>
      <c r="H498" s="19"/>
      <c r="I498" s="19"/>
      <c r="J498" s="19"/>
    </row>
    <row r="499" spans="2:10" ht="15.5">
      <c r="B499" s="19"/>
      <c r="C499" s="19"/>
      <c r="D499" s="19"/>
      <c r="E499" s="19"/>
      <c r="F499" s="19"/>
      <c r="G499" s="19"/>
      <c r="H499" s="19"/>
      <c r="I499" s="19"/>
      <c r="J499" s="19"/>
    </row>
    <row r="500" spans="2:10" ht="15.5">
      <c r="B500" s="19"/>
      <c r="C500" s="19"/>
      <c r="D500" s="19"/>
      <c r="E500" s="19"/>
      <c r="F500" s="19"/>
      <c r="G500" s="19"/>
      <c r="H500" s="19"/>
      <c r="I500" s="19"/>
      <c r="J500" s="19"/>
    </row>
    <row r="501" spans="2:10" ht="15.5">
      <c r="B501" s="19"/>
      <c r="C501" s="19"/>
      <c r="D501" s="19"/>
      <c r="E501" s="19"/>
      <c r="F501" s="19"/>
      <c r="G501" s="19"/>
      <c r="H501" s="19"/>
      <c r="I501" s="19"/>
      <c r="J501" s="19"/>
    </row>
    <row r="502" spans="2:10" ht="15.5">
      <c r="B502" s="19"/>
      <c r="C502" s="19"/>
      <c r="D502" s="19"/>
      <c r="E502" s="19"/>
      <c r="F502" s="19"/>
      <c r="G502" s="19"/>
      <c r="H502" s="19"/>
      <c r="I502" s="19"/>
      <c r="J502" s="19"/>
    </row>
    <row r="503" spans="2:10" ht="15.5">
      <c r="B503" s="19"/>
      <c r="C503" s="19"/>
      <c r="D503" s="19"/>
      <c r="E503" s="19"/>
      <c r="F503" s="19"/>
      <c r="G503" s="19"/>
      <c r="H503" s="19"/>
      <c r="I503" s="19"/>
      <c r="J503" s="19"/>
    </row>
    <row r="504" spans="2:10" ht="15.5">
      <c r="B504" s="19"/>
      <c r="C504" s="19"/>
      <c r="D504" s="19"/>
      <c r="E504" s="19"/>
      <c r="F504" s="19"/>
      <c r="G504" s="19"/>
      <c r="H504" s="19"/>
      <c r="I504" s="19"/>
      <c r="J504" s="19"/>
    </row>
    <row r="505" spans="2:10" ht="15.5">
      <c r="B505" s="19"/>
      <c r="C505" s="19"/>
      <c r="D505" s="19"/>
      <c r="E505" s="19"/>
      <c r="F505" s="19"/>
      <c r="G505" s="19"/>
      <c r="H505" s="19"/>
      <c r="I505" s="19"/>
      <c r="J505" s="19"/>
    </row>
    <row r="506" spans="2:10" ht="15.5">
      <c r="B506" s="19"/>
      <c r="C506" s="19"/>
      <c r="D506" s="19"/>
      <c r="E506" s="19"/>
      <c r="F506" s="19"/>
      <c r="G506" s="19"/>
      <c r="H506" s="19"/>
      <c r="I506" s="19"/>
      <c r="J506" s="19"/>
    </row>
    <row r="507" spans="2:10" ht="15.5">
      <c r="B507" s="19"/>
      <c r="C507" s="19"/>
      <c r="D507" s="19"/>
      <c r="E507" s="19"/>
      <c r="F507" s="19"/>
      <c r="G507" s="19"/>
      <c r="H507" s="19"/>
      <c r="I507" s="19"/>
      <c r="J507" s="19"/>
    </row>
    <row r="508" spans="2:10" ht="15.5">
      <c r="B508" s="19"/>
      <c r="C508" s="19"/>
      <c r="D508" s="19"/>
      <c r="E508" s="19"/>
      <c r="F508" s="19"/>
      <c r="G508" s="19"/>
      <c r="H508" s="19"/>
      <c r="I508" s="19"/>
      <c r="J508" s="19"/>
    </row>
    <row r="509" spans="2:10" ht="15.5">
      <c r="B509" s="19"/>
      <c r="C509" s="19"/>
      <c r="D509" s="19"/>
      <c r="E509" s="19"/>
      <c r="F509" s="19"/>
      <c r="G509" s="19"/>
      <c r="H509" s="19"/>
      <c r="I509" s="19"/>
      <c r="J509" s="19"/>
    </row>
    <row r="510" spans="2:10" ht="15.5">
      <c r="B510" s="19"/>
      <c r="C510" s="19"/>
      <c r="D510" s="19"/>
      <c r="E510" s="19"/>
      <c r="F510" s="19"/>
      <c r="G510" s="19"/>
      <c r="H510" s="19"/>
      <c r="I510" s="19"/>
      <c r="J510" s="19"/>
    </row>
    <row r="511" spans="2:10" ht="15.5">
      <c r="B511" s="19"/>
      <c r="C511" s="19"/>
      <c r="D511" s="19"/>
      <c r="E511" s="19"/>
      <c r="F511" s="19"/>
      <c r="G511" s="19"/>
      <c r="H511" s="19"/>
      <c r="I511" s="19"/>
      <c r="J511" s="19"/>
    </row>
    <row r="512" spans="2:10" ht="15.5">
      <c r="B512" s="19"/>
      <c r="C512" s="19"/>
      <c r="D512" s="19"/>
      <c r="E512" s="19"/>
      <c r="F512" s="19"/>
      <c r="G512" s="19"/>
      <c r="H512" s="19"/>
      <c r="I512" s="19"/>
      <c r="J512" s="19"/>
    </row>
    <row r="513" spans="2:10" ht="15.5">
      <c r="B513" s="19"/>
      <c r="C513" s="19"/>
      <c r="D513" s="19"/>
      <c r="E513" s="19"/>
      <c r="F513" s="19"/>
      <c r="G513" s="19"/>
      <c r="H513" s="19"/>
      <c r="I513" s="19"/>
      <c r="J513" s="19"/>
    </row>
    <row r="514" spans="2:10" ht="15.5">
      <c r="B514" s="19"/>
      <c r="C514" s="19"/>
      <c r="D514" s="19"/>
      <c r="E514" s="19"/>
      <c r="F514" s="19"/>
      <c r="G514" s="19"/>
      <c r="H514" s="19"/>
      <c r="I514" s="19"/>
      <c r="J514" s="19"/>
    </row>
    <row r="515" spans="2:10" ht="15.5">
      <c r="B515" s="19"/>
      <c r="C515" s="19"/>
      <c r="D515" s="19"/>
      <c r="E515" s="19"/>
      <c r="F515" s="19"/>
      <c r="G515" s="19"/>
      <c r="H515" s="19"/>
      <c r="I515" s="19"/>
      <c r="J515" s="19"/>
    </row>
    <row r="516" spans="2:10" ht="15.5">
      <c r="B516" s="19"/>
      <c r="C516" s="19"/>
      <c r="D516" s="19"/>
      <c r="E516" s="19"/>
      <c r="F516" s="19"/>
      <c r="G516" s="19"/>
      <c r="H516" s="19"/>
      <c r="I516" s="19"/>
      <c r="J516" s="19"/>
    </row>
    <row r="517" spans="2:10" ht="15.5">
      <c r="B517" s="19"/>
      <c r="C517" s="19"/>
      <c r="D517" s="19"/>
      <c r="E517" s="19"/>
      <c r="F517" s="19"/>
      <c r="G517" s="19"/>
      <c r="H517" s="19"/>
      <c r="I517" s="19"/>
      <c r="J517" s="19"/>
    </row>
    <row r="518" spans="2:10" ht="15.5">
      <c r="B518" s="19"/>
      <c r="C518" s="19"/>
      <c r="D518" s="19"/>
      <c r="E518" s="19"/>
      <c r="F518" s="19"/>
      <c r="G518" s="19"/>
      <c r="H518" s="19"/>
      <c r="I518" s="19"/>
      <c r="J518" s="19"/>
    </row>
    <row r="519" spans="2:10" ht="15.5">
      <c r="B519" s="19"/>
      <c r="C519" s="19"/>
      <c r="D519" s="19"/>
      <c r="E519" s="19"/>
      <c r="F519" s="19"/>
      <c r="G519" s="19"/>
      <c r="H519" s="19"/>
      <c r="I519" s="19"/>
      <c r="J519" s="19"/>
    </row>
    <row r="520" spans="2:10" ht="15.5">
      <c r="B520" s="19"/>
      <c r="C520" s="19"/>
      <c r="D520" s="19"/>
      <c r="E520" s="19"/>
      <c r="F520" s="19"/>
      <c r="G520" s="19"/>
      <c r="H520" s="19"/>
      <c r="I520" s="19"/>
      <c r="J520" s="19"/>
    </row>
    <row r="521" spans="2:10" ht="15.5">
      <c r="B521" s="19"/>
      <c r="C521" s="19"/>
      <c r="D521" s="19"/>
      <c r="E521" s="19"/>
      <c r="F521" s="19"/>
      <c r="G521" s="19"/>
      <c r="H521" s="19"/>
      <c r="I521" s="19"/>
      <c r="J521" s="19"/>
    </row>
    <row r="522" spans="2:10" ht="15.5">
      <c r="B522" s="19"/>
      <c r="C522" s="19"/>
      <c r="D522" s="19"/>
      <c r="E522" s="19"/>
      <c r="F522" s="19"/>
      <c r="G522" s="19"/>
      <c r="H522" s="19"/>
      <c r="I522" s="19"/>
      <c r="J522" s="19"/>
    </row>
    <row r="523" spans="2:10" ht="15.5">
      <c r="B523" s="19"/>
      <c r="C523" s="19"/>
      <c r="D523" s="19"/>
      <c r="E523" s="19"/>
      <c r="F523" s="19"/>
      <c r="G523" s="19"/>
      <c r="H523" s="19"/>
      <c r="I523" s="19"/>
      <c r="J523" s="19"/>
    </row>
    <row r="524" spans="2:10" ht="15.5">
      <c r="B524" s="19"/>
      <c r="C524" s="19"/>
      <c r="D524" s="19"/>
      <c r="E524" s="19"/>
      <c r="F524" s="19"/>
      <c r="G524" s="19"/>
      <c r="H524" s="19"/>
      <c r="I524" s="19"/>
      <c r="J524" s="19"/>
    </row>
    <row r="525" spans="2:10" ht="15.5">
      <c r="B525" s="19"/>
      <c r="C525" s="19"/>
      <c r="D525" s="19"/>
      <c r="E525" s="19"/>
      <c r="F525" s="19"/>
      <c r="G525" s="19"/>
      <c r="H525" s="19"/>
      <c r="I525" s="19"/>
      <c r="J525" s="19"/>
    </row>
    <row r="526" spans="2:10" ht="15.5">
      <c r="B526" s="19"/>
      <c r="C526" s="19"/>
      <c r="D526" s="19"/>
      <c r="E526" s="19"/>
      <c r="F526" s="19"/>
      <c r="G526" s="19"/>
      <c r="H526" s="19"/>
      <c r="I526" s="19"/>
      <c r="J526" s="19"/>
    </row>
    <row r="527" spans="2:10" ht="15.5">
      <c r="B527" s="19"/>
      <c r="C527" s="19"/>
      <c r="D527" s="19"/>
      <c r="E527" s="19"/>
      <c r="F527" s="19"/>
      <c r="G527" s="19"/>
      <c r="H527" s="19"/>
      <c r="I527" s="19"/>
      <c r="J527" s="19"/>
    </row>
    <row r="528" spans="2:10" ht="15.5">
      <c r="B528" s="19"/>
      <c r="C528" s="19"/>
      <c r="D528" s="19"/>
      <c r="E528" s="19"/>
      <c r="F528" s="19"/>
      <c r="G528" s="19"/>
      <c r="H528" s="19"/>
      <c r="I528" s="19"/>
      <c r="J528" s="19"/>
    </row>
    <row r="529" spans="2:10" ht="15.5">
      <c r="B529" s="19"/>
      <c r="C529" s="19"/>
      <c r="D529" s="19"/>
      <c r="E529" s="19"/>
      <c r="F529" s="19"/>
      <c r="G529" s="19"/>
      <c r="H529" s="19"/>
      <c r="I529" s="19"/>
      <c r="J529" s="19"/>
    </row>
    <row r="530" spans="2:10" ht="15.5">
      <c r="B530" s="19"/>
      <c r="C530" s="19"/>
      <c r="D530" s="19"/>
      <c r="E530" s="19"/>
      <c r="F530" s="19"/>
      <c r="G530" s="19"/>
      <c r="H530" s="19"/>
      <c r="I530" s="19"/>
      <c r="J530" s="19"/>
    </row>
    <row r="531" spans="2:10" ht="15.5">
      <c r="B531" s="19"/>
      <c r="C531" s="19"/>
      <c r="D531" s="19"/>
      <c r="E531" s="19"/>
      <c r="F531" s="19"/>
      <c r="G531" s="19"/>
      <c r="H531" s="19"/>
      <c r="I531" s="19"/>
      <c r="J531" s="19"/>
    </row>
    <row r="532" spans="2:10" ht="15.5">
      <c r="B532" s="19"/>
      <c r="C532" s="19"/>
      <c r="D532" s="19"/>
      <c r="E532" s="19"/>
      <c r="F532" s="19"/>
      <c r="G532" s="19"/>
      <c r="H532" s="19"/>
      <c r="I532" s="19"/>
      <c r="J532" s="19"/>
    </row>
    <row r="533" spans="2:10" ht="15.5">
      <c r="B533" s="19"/>
      <c r="C533" s="19"/>
      <c r="D533" s="19"/>
      <c r="E533" s="19"/>
      <c r="F533" s="19"/>
      <c r="G533" s="19"/>
      <c r="H533" s="19"/>
      <c r="I533" s="19"/>
      <c r="J533" s="19"/>
    </row>
    <row r="534" spans="2:10" ht="15.5">
      <c r="B534" s="19"/>
      <c r="C534" s="19"/>
      <c r="D534" s="19"/>
      <c r="E534" s="19"/>
      <c r="F534" s="19"/>
      <c r="G534" s="19"/>
      <c r="H534" s="19"/>
      <c r="I534" s="19"/>
      <c r="J534" s="19"/>
    </row>
    <row r="535" spans="2:10" ht="15.5">
      <c r="B535" s="19"/>
      <c r="C535" s="19"/>
      <c r="D535" s="19"/>
      <c r="E535" s="19"/>
      <c r="F535" s="19"/>
      <c r="G535" s="19"/>
      <c r="H535" s="19"/>
      <c r="I535" s="19"/>
      <c r="J535" s="19"/>
    </row>
    <row r="536" spans="2:10" ht="15.5">
      <c r="B536" s="19"/>
      <c r="C536" s="19"/>
      <c r="D536" s="19"/>
      <c r="E536" s="19"/>
      <c r="F536" s="19"/>
      <c r="G536" s="19"/>
      <c r="H536" s="19"/>
      <c r="I536" s="19"/>
      <c r="J536" s="19"/>
    </row>
    <row r="537" spans="2:10" ht="15.5">
      <c r="B537" s="19"/>
      <c r="C537" s="19"/>
      <c r="D537" s="19"/>
      <c r="E537" s="19"/>
      <c r="F537" s="19"/>
      <c r="G537" s="19"/>
      <c r="H537" s="19"/>
      <c r="I537" s="19"/>
      <c r="J537" s="19"/>
    </row>
    <row r="538" spans="2:10" ht="15.5">
      <c r="B538" s="19"/>
      <c r="C538" s="19"/>
      <c r="D538" s="19"/>
      <c r="E538" s="19"/>
      <c r="F538" s="19"/>
      <c r="G538" s="19"/>
      <c r="H538" s="19"/>
      <c r="I538" s="19"/>
      <c r="J538" s="19"/>
    </row>
    <row r="539" spans="2:10" ht="15.5">
      <c r="B539" s="19"/>
      <c r="C539" s="19"/>
      <c r="D539" s="19"/>
      <c r="E539" s="19"/>
      <c r="F539" s="19"/>
      <c r="G539" s="19"/>
      <c r="H539" s="19"/>
      <c r="I539" s="19"/>
      <c r="J539" s="19"/>
    </row>
    <row r="540" spans="2:10" ht="15.5">
      <c r="B540" s="19"/>
      <c r="C540" s="19"/>
      <c r="D540" s="19"/>
      <c r="E540" s="19"/>
      <c r="F540" s="19"/>
      <c r="G540" s="19"/>
      <c r="H540" s="19"/>
      <c r="I540" s="19"/>
      <c r="J540" s="19"/>
    </row>
    <row r="541" spans="2:10" ht="15.5">
      <c r="B541" s="19"/>
      <c r="C541" s="19"/>
      <c r="D541" s="19"/>
      <c r="E541" s="19"/>
      <c r="F541" s="19"/>
      <c r="G541" s="19"/>
      <c r="H541" s="19"/>
      <c r="I541" s="19"/>
      <c r="J541" s="19"/>
    </row>
    <row r="542" spans="2:10" ht="15.5">
      <c r="B542" s="19"/>
      <c r="C542" s="19"/>
      <c r="D542" s="19"/>
      <c r="E542" s="19"/>
      <c r="F542" s="19"/>
      <c r="G542" s="19"/>
      <c r="H542" s="19"/>
      <c r="I542" s="19"/>
      <c r="J542" s="19"/>
    </row>
    <row r="543" spans="2:10" ht="15.5">
      <c r="B543" s="19"/>
      <c r="C543" s="19"/>
      <c r="D543" s="19"/>
      <c r="E543" s="19"/>
      <c r="F543" s="19"/>
      <c r="G543" s="19"/>
      <c r="H543" s="19"/>
      <c r="I543" s="19"/>
      <c r="J543" s="19"/>
    </row>
    <row r="544" spans="2:10" ht="15.5">
      <c r="B544" s="19"/>
      <c r="C544" s="19"/>
      <c r="D544" s="19"/>
      <c r="E544" s="19"/>
      <c r="F544" s="19"/>
      <c r="G544" s="19"/>
      <c r="H544" s="19"/>
      <c r="I544" s="19"/>
      <c r="J544" s="19"/>
    </row>
    <row r="545" spans="2:10" ht="15.5">
      <c r="B545" s="19"/>
      <c r="C545" s="19"/>
      <c r="D545" s="19"/>
      <c r="E545" s="19"/>
      <c r="F545" s="19"/>
      <c r="G545" s="19"/>
      <c r="H545" s="19"/>
      <c r="I545" s="19"/>
      <c r="J545" s="19"/>
    </row>
    <row r="546" spans="2:10" ht="15.5">
      <c r="B546" s="19"/>
      <c r="C546" s="19"/>
      <c r="D546" s="19"/>
      <c r="E546" s="19"/>
      <c r="F546" s="19"/>
      <c r="G546" s="19"/>
      <c r="H546" s="19"/>
      <c r="I546" s="19"/>
      <c r="J546" s="19"/>
    </row>
    <row r="547" spans="2:10" ht="15.5">
      <c r="B547" s="19"/>
      <c r="C547" s="19"/>
      <c r="D547" s="19"/>
      <c r="E547" s="19"/>
      <c r="F547" s="19"/>
      <c r="G547" s="19"/>
      <c r="H547" s="19"/>
      <c r="I547" s="19"/>
      <c r="J547" s="19"/>
    </row>
    <row r="548" spans="2:10" ht="15.5">
      <c r="B548" s="19"/>
      <c r="C548" s="19"/>
      <c r="D548" s="19"/>
      <c r="E548" s="19"/>
      <c r="F548" s="19"/>
      <c r="G548" s="19"/>
      <c r="H548" s="19"/>
      <c r="I548" s="19"/>
      <c r="J548" s="19"/>
    </row>
    <row r="549" spans="2:10" ht="15.5">
      <c r="B549" s="19"/>
      <c r="C549" s="19"/>
      <c r="D549" s="19"/>
      <c r="E549" s="19"/>
      <c r="F549" s="19"/>
      <c r="G549" s="19"/>
      <c r="H549" s="19"/>
      <c r="I549" s="19"/>
      <c r="J549" s="19"/>
    </row>
    <row r="550" spans="2:10" ht="15.5">
      <c r="B550" s="19"/>
      <c r="C550" s="19"/>
      <c r="D550" s="19"/>
      <c r="E550" s="19"/>
      <c r="F550" s="19"/>
      <c r="G550" s="19"/>
      <c r="H550" s="19"/>
      <c r="I550" s="19"/>
      <c r="J550" s="19"/>
    </row>
    <row r="551" spans="2:10" ht="15.5">
      <c r="B551" s="19"/>
      <c r="C551" s="19"/>
      <c r="D551" s="19"/>
      <c r="E551" s="19"/>
      <c r="F551" s="19"/>
      <c r="G551" s="19"/>
      <c r="H551" s="19"/>
      <c r="I551" s="19"/>
      <c r="J551" s="19"/>
    </row>
    <row r="552" spans="2:10" ht="15.5">
      <c r="B552" s="19"/>
      <c r="C552" s="19"/>
      <c r="D552" s="19"/>
      <c r="E552" s="19"/>
      <c r="F552" s="19"/>
      <c r="G552" s="19"/>
      <c r="H552" s="19"/>
      <c r="I552" s="19"/>
      <c r="J552" s="19"/>
    </row>
    <row r="553" spans="2:10" ht="15.5">
      <c r="B553" s="19"/>
      <c r="C553" s="19"/>
      <c r="D553" s="19"/>
      <c r="E553" s="19"/>
      <c r="F553" s="19"/>
      <c r="G553" s="19"/>
      <c r="H553" s="19"/>
      <c r="I553" s="19"/>
      <c r="J553" s="19"/>
    </row>
    <row r="554" spans="2:10" ht="15.5">
      <c r="B554" s="19"/>
      <c r="C554" s="19"/>
      <c r="D554" s="19"/>
      <c r="E554" s="19"/>
      <c r="F554" s="19"/>
      <c r="G554" s="19"/>
      <c r="H554" s="19"/>
      <c r="I554" s="19"/>
      <c r="J554" s="19"/>
    </row>
    <row r="555" spans="2:10" ht="15.5">
      <c r="B555" s="19"/>
      <c r="C555" s="19"/>
      <c r="D555" s="19"/>
      <c r="E555" s="19"/>
      <c r="F555" s="19"/>
      <c r="G555" s="19"/>
      <c r="H555" s="19"/>
      <c r="I555" s="19"/>
      <c r="J555" s="19"/>
    </row>
    <row r="556" spans="2:10" ht="15.5">
      <c r="B556" s="19"/>
      <c r="C556" s="19"/>
      <c r="D556" s="19"/>
      <c r="E556" s="19"/>
      <c r="F556" s="19"/>
      <c r="G556" s="19"/>
      <c r="H556" s="19"/>
      <c r="I556" s="19"/>
      <c r="J556" s="19"/>
    </row>
    <row r="557" spans="2:10" ht="15.5">
      <c r="B557" s="19"/>
      <c r="C557" s="19"/>
      <c r="D557" s="19"/>
      <c r="E557" s="19"/>
      <c r="F557" s="19"/>
      <c r="G557" s="19"/>
      <c r="H557" s="19"/>
      <c r="I557" s="19"/>
      <c r="J557" s="19"/>
    </row>
    <row r="558" spans="2:10" ht="15.5">
      <c r="B558" s="19"/>
      <c r="C558" s="19"/>
      <c r="D558" s="19"/>
      <c r="E558" s="19"/>
      <c r="F558" s="19"/>
      <c r="G558" s="19"/>
      <c r="H558" s="19"/>
      <c r="I558" s="19"/>
      <c r="J558" s="19"/>
    </row>
    <row r="559" spans="2:10" ht="15.5">
      <c r="B559" s="19"/>
      <c r="C559" s="19"/>
      <c r="D559" s="19"/>
      <c r="E559" s="19"/>
      <c r="F559" s="19"/>
      <c r="G559" s="19"/>
      <c r="H559" s="19"/>
      <c r="I559" s="19"/>
      <c r="J559" s="19"/>
    </row>
    <row r="560" spans="2:10" ht="15.5">
      <c r="B560" s="19"/>
      <c r="C560" s="19"/>
      <c r="D560" s="19"/>
      <c r="E560" s="19"/>
      <c r="F560" s="19"/>
      <c r="G560" s="19"/>
      <c r="H560" s="19"/>
      <c r="I560" s="19"/>
      <c r="J560" s="19"/>
    </row>
    <row r="561" spans="2:10" ht="15.5">
      <c r="B561" s="19"/>
      <c r="C561" s="19"/>
      <c r="D561" s="19"/>
      <c r="E561" s="19"/>
      <c r="F561" s="19"/>
      <c r="G561" s="19"/>
      <c r="H561" s="19"/>
      <c r="I561" s="19"/>
      <c r="J561" s="19"/>
    </row>
    <row r="562" spans="2:10" ht="15.5">
      <c r="B562" s="19"/>
      <c r="C562" s="19"/>
      <c r="D562" s="19"/>
      <c r="E562" s="19"/>
      <c r="F562" s="19"/>
      <c r="G562" s="19"/>
      <c r="H562" s="19"/>
      <c r="I562" s="19"/>
      <c r="J562" s="19"/>
    </row>
    <row r="563" spans="2:10" ht="15.5">
      <c r="B563" s="19"/>
      <c r="C563" s="19"/>
      <c r="D563" s="19"/>
      <c r="E563" s="19"/>
      <c r="F563" s="19"/>
      <c r="G563" s="19"/>
      <c r="H563" s="19"/>
      <c r="I563" s="19"/>
      <c r="J563" s="19"/>
    </row>
    <row r="564" spans="2:10" ht="15.5">
      <c r="B564" s="19"/>
      <c r="C564" s="19"/>
      <c r="D564" s="19"/>
      <c r="E564" s="19"/>
      <c r="F564" s="19"/>
      <c r="G564" s="19"/>
      <c r="H564" s="19"/>
      <c r="I564" s="19"/>
      <c r="J564" s="19"/>
    </row>
    <row r="565" spans="2:10" ht="15.5">
      <c r="B565" s="19"/>
      <c r="C565" s="19"/>
      <c r="D565" s="19"/>
      <c r="E565" s="19"/>
      <c r="F565" s="19"/>
      <c r="G565" s="19"/>
      <c r="H565" s="19"/>
      <c r="I565" s="19"/>
      <c r="J565" s="19"/>
    </row>
    <row r="566" spans="2:10" ht="15.5">
      <c r="B566" s="19"/>
      <c r="C566" s="19"/>
      <c r="D566" s="19"/>
      <c r="E566" s="19"/>
      <c r="F566" s="19"/>
      <c r="G566" s="19"/>
      <c r="H566" s="19"/>
      <c r="I566" s="19"/>
      <c r="J566" s="19"/>
    </row>
    <row r="567" spans="2:10" ht="15.5">
      <c r="B567" s="19"/>
      <c r="C567" s="19"/>
      <c r="D567" s="19"/>
      <c r="E567" s="19"/>
      <c r="F567" s="19"/>
      <c r="G567" s="19"/>
      <c r="H567" s="19"/>
      <c r="I567" s="19"/>
      <c r="J567" s="19"/>
    </row>
    <row r="568" spans="2:10" ht="15.5">
      <c r="B568" s="19"/>
      <c r="C568" s="19"/>
      <c r="D568" s="19"/>
      <c r="E568" s="19"/>
      <c r="F568" s="19"/>
      <c r="G568" s="19"/>
      <c r="H568" s="19"/>
      <c r="I568" s="19"/>
      <c r="J568" s="19"/>
    </row>
    <row r="569" spans="2:10" ht="15.5">
      <c r="B569" s="19"/>
      <c r="C569" s="19"/>
      <c r="D569" s="19"/>
      <c r="E569" s="19"/>
      <c r="F569" s="19"/>
      <c r="G569" s="19"/>
      <c r="H569" s="19"/>
      <c r="I569" s="19"/>
      <c r="J569" s="19"/>
    </row>
    <row r="570" spans="2:10" ht="15.5">
      <c r="B570" s="19"/>
      <c r="C570" s="19"/>
      <c r="D570" s="19"/>
      <c r="E570" s="19"/>
      <c r="F570" s="19"/>
      <c r="G570" s="19"/>
      <c r="H570" s="19"/>
      <c r="I570" s="19"/>
      <c r="J570" s="19"/>
    </row>
    <row r="571" spans="2:10" ht="15.5">
      <c r="B571" s="19"/>
      <c r="C571" s="19"/>
      <c r="D571" s="19"/>
      <c r="E571" s="19"/>
      <c r="F571" s="19"/>
      <c r="G571" s="19"/>
      <c r="H571" s="19"/>
      <c r="I571" s="19"/>
      <c r="J571" s="19"/>
    </row>
    <row r="572" spans="2:10" ht="15.5">
      <c r="B572" s="19"/>
      <c r="C572" s="19"/>
      <c r="D572" s="19"/>
      <c r="E572" s="19"/>
      <c r="F572" s="19"/>
      <c r="G572" s="19"/>
      <c r="H572" s="19"/>
      <c r="I572" s="19"/>
      <c r="J572" s="19"/>
    </row>
    <row r="573" spans="2:10" ht="15.5">
      <c r="B573" s="19"/>
      <c r="C573" s="19"/>
      <c r="D573" s="19"/>
      <c r="E573" s="19"/>
      <c r="F573" s="19"/>
      <c r="G573" s="19"/>
      <c r="H573" s="19"/>
      <c r="I573" s="19"/>
      <c r="J573" s="19"/>
    </row>
    <row r="574" spans="2:10" ht="15.5">
      <c r="B574" s="19"/>
      <c r="C574" s="19"/>
      <c r="D574" s="19"/>
      <c r="E574" s="19"/>
      <c r="F574" s="19"/>
      <c r="G574" s="19"/>
      <c r="H574" s="19"/>
      <c r="I574" s="19"/>
      <c r="J574" s="19"/>
    </row>
    <row r="575" spans="2:10" ht="15.5">
      <c r="B575" s="19"/>
      <c r="C575" s="19"/>
      <c r="D575" s="19"/>
      <c r="E575" s="19"/>
      <c r="F575" s="19"/>
      <c r="G575" s="19"/>
      <c r="H575" s="19"/>
      <c r="I575" s="19"/>
      <c r="J575" s="19"/>
    </row>
    <row r="576" spans="2:10" ht="15.5">
      <c r="B576" s="19"/>
      <c r="C576" s="19"/>
      <c r="D576" s="19"/>
      <c r="E576" s="19"/>
      <c r="F576" s="19"/>
      <c r="G576" s="19"/>
      <c r="H576" s="19"/>
      <c r="I576" s="19"/>
      <c r="J576" s="19"/>
    </row>
    <row r="577" spans="2:10" ht="15.5">
      <c r="B577" s="19"/>
      <c r="C577" s="19"/>
      <c r="D577" s="19"/>
      <c r="E577" s="19"/>
      <c r="F577" s="19"/>
      <c r="G577" s="19"/>
      <c r="H577" s="19"/>
      <c r="I577" s="19"/>
      <c r="J577" s="19"/>
    </row>
    <row r="578" spans="2:10" ht="15.5">
      <c r="B578" s="19"/>
      <c r="C578" s="19"/>
      <c r="D578" s="19"/>
      <c r="E578" s="19"/>
      <c r="F578" s="19"/>
      <c r="G578" s="19"/>
      <c r="H578" s="19"/>
      <c r="I578" s="19"/>
      <c r="J578" s="19"/>
    </row>
    <row r="579" spans="2:10" ht="15.5">
      <c r="B579" s="19"/>
      <c r="C579" s="19"/>
      <c r="D579" s="19"/>
      <c r="E579" s="19"/>
      <c r="F579" s="19"/>
      <c r="G579" s="19"/>
      <c r="H579" s="19"/>
      <c r="I579" s="19"/>
      <c r="J579" s="19"/>
    </row>
    <row r="580" spans="2:10" ht="15.5">
      <c r="B580" s="19"/>
      <c r="C580" s="19"/>
      <c r="D580" s="19"/>
      <c r="E580" s="19"/>
      <c r="F580" s="19"/>
      <c r="G580" s="19"/>
      <c r="H580" s="19"/>
      <c r="I580" s="19"/>
      <c r="J580" s="19"/>
    </row>
    <row r="581" spans="2:10" ht="15.5">
      <c r="B581" s="19"/>
      <c r="C581" s="19"/>
      <c r="D581" s="19"/>
      <c r="E581" s="19"/>
      <c r="F581" s="19"/>
      <c r="G581" s="19"/>
      <c r="H581" s="19"/>
      <c r="I581" s="19"/>
      <c r="J581" s="19"/>
    </row>
    <row r="582" spans="2:10" ht="15.5">
      <c r="B582" s="19"/>
      <c r="C582" s="19"/>
      <c r="D582" s="19"/>
      <c r="E582" s="19"/>
      <c r="F582" s="19"/>
      <c r="G582" s="19"/>
      <c r="H582" s="19"/>
      <c r="I582" s="19"/>
      <c r="J582" s="19"/>
    </row>
    <row r="583" spans="2:10" ht="15.5">
      <c r="B583" s="19"/>
      <c r="C583" s="19"/>
      <c r="D583" s="19"/>
      <c r="E583" s="19"/>
      <c r="F583" s="19"/>
      <c r="G583" s="19"/>
      <c r="H583" s="19"/>
      <c r="I583" s="19"/>
      <c r="J583" s="19"/>
    </row>
    <row r="584" spans="2:10" ht="15.5">
      <c r="B584" s="19"/>
      <c r="C584" s="19"/>
      <c r="D584" s="19"/>
      <c r="E584" s="19"/>
      <c r="F584" s="19"/>
      <c r="G584" s="19"/>
      <c r="H584" s="19"/>
      <c r="I584" s="19"/>
      <c r="J584" s="19"/>
    </row>
    <row r="585" spans="2:10" ht="15.5">
      <c r="B585" s="19"/>
      <c r="C585" s="19"/>
      <c r="D585" s="19"/>
      <c r="E585" s="19"/>
      <c r="F585" s="19"/>
      <c r="G585" s="19"/>
      <c r="H585" s="19"/>
      <c r="I585" s="19"/>
      <c r="J585" s="19"/>
    </row>
    <row r="586" spans="2:10" ht="15.5">
      <c r="B586" s="19"/>
      <c r="C586" s="19"/>
      <c r="D586" s="19"/>
      <c r="E586" s="19"/>
      <c r="F586" s="19"/>
      <c r="G586" s="19"/>
      <c r="H586" s="19"/>
      <c r="I586" s="19"/>
      <c r="J586" s="19"/>
    </row>
    <row r="587" spans="2:10" ht="15.5">
      <c r="B587" s="19"/>
      <c r="C587" s="19"/>
      <c r="D587" s="19"/>
      <c r="E587" s="19"/>
      <c r="F587" s="19"/>
      <c r="G587" s="19"/>
      <c r="H587" s="19"/>
      <c r="I587" s="19"/>
      <c r="J587" s="19"/>
    </row>
    <row r="588" spans="2:10" ht="15.5">
      <c r="B588" s="19"/>
      <c r="C588" s="19"/>
      <c r="D588" s="19"/>
      <c r="E588" s="19"/>
      <c r="F588" s="19"/>
      <c r="G588" s="19"/>
      <c r="H588" s="19"/>
      <c r="I588" s="19"/>
      <c r="J588" s="19"/>
    </row>
    <row r="589" spans="2:10" ht="15.5">
      <c r="B589" s="19"/>
      <c r="C589" s="19"/>
      <c r="D589" s="19"/>
      <c r="E589" s="19"/>
      <c r="F589" s="19"/>
      <c r="G589" s="19"/>
      <c r="H589" s="19"/>
      <c r="I589" s="19"/>
      <c r="J589" s="19"/>
    </row>
    <row r="590" spans="2:10" ht="15.5">
      <c r="B590" s="19"/>
      <c r="C590" s="19"/>
      <c r="D590" s="19"/>
      <c r="E590" s="19"/>
      <c r="F590" s="19"/>
      <c r="G590" s="19"/>
      <c r="H590" s="19"/>
      <c r="I590" s="19"/>
      <c r="J590" s="19"/>
    </row>
    <row r="591" spans="2:10" ht="15.5">
      <c r="B591" s="19"/>
      <c r="C591" s="19"/>
      <c r="D591" s="19"/>
      <c r="E591" s="19"/>
      <c r="F591" s="19"/>
      <c r="G591" s="19"/>
      <c r="H591" s="19"/>
      <c r="I591" s="19"/>
      <c r="J591" s="19"/>
    </row>
    <row r="592" spans="2:10" ht="15.5">
      <c r="B592" s="19"/>
      <c r="C592" s="19"/>
      <c r="D592" s="19"/>
      <c r="E592" s="19"/>
      <c r="F592" s="19"/>
      <c r="G592" s="19"/>
      <c r="H592" s="19"/>
      <c r="I592" s="19"/>
      <c r="J592" s="19"/>
    </row>
    <row r="593" spans="2:10" ht="15.5">
      <c r="B593" s="19"/>
      <c r="C593" s="19"/>
      <c r="D593" s="19"/>
      <c r="E593" s="19"/>
      <c r="F593" s="19"/>
      <c r="G593" s="19"/>
      <c r="H593" s="19"/>
      <c r="I593" s="19"/>
      <c r="J593" s="19"/>
    </row>
    <row r="594" spans="2:10" ht="15.5">
      <c r="B594" s="19"/>
      <c r="C594" s="19"/>
      <c r="D594" s="19"/>
      <c r="E594" s="19"/>
      <c r="F594" s="19"/>
      <c r="G594" s="19"/>
      <c r="H594" s="19"/>
      <c r="I594" s="19"/>
      <c r="J594" s="19"/>
    </row>
    <row r="595" spans="2:10" ht="15.5">
      <c r="B595" s="19"/>
      <c r="C595" s="19"/>
      <c r="D595" s="19"/>
      <c r="E595" s="19"/>
      <c r="F595" s="19"/>
      <c r="G595" s="19"/>
      <c r="H595" s="19"/>
      <c r="I595" s="19"/>
      <c r="J595" s="19"/>
    </row>
    <row r="596" spans="2:10" ht="15.5">
      <c r="B596" s="19"/>
      <c r="C596" s="19"/>
      <c r="D596" s="19"/>
      <c r="E596" s="19"/>
      <c r="F596" s="19"/>
      <c r="G596" s="19"/>
      <c r="H596" s="19"/>
      <c r="I596" s="19"/>
      <c r="J596" s="19"/>
    </row>
    <row r="597" spans="2:10" ht="15.5">
      <c r="B597" s="19"/>
      <c r="C597" s="19"/>
      <c r="D597" s="19"/>
      <c r="E597" s="19"/>
      <c r="F597" s="19"/>
      <c r="G597" s="19"/>
      <c r="H597" s="19"/>
      <c r="I597" s="19"/>
      <c r="J597" s="19"/>
    </row>
    <row r="598" spans="2:10" ht="15.5">
      <c r="B598" s="19"/>
      <c r="C598" s="19"/>
      <c r="D598" s="19"/>
      <c r="E598" s="19"/>
      <c r="F598" s="19"/>
      <c r="G598" s="19"/>
      <c r="H598" s="19"/>
      <c r="I598" s="19"/>
      <c r="J598" s="19"/>
    </row>
    <row r="599" spans="2:10" ht="15.5">
      <c r="B599" s="19"/>
      <c r="C599" s="19"/>
      <c r="D599" s="19"/>
      <c r="E599" s="19"/>
      <c r="F599" s="19"/>
      <c r="G599" s="19"/>
      <c r="H599" s="19"/>
      <c r="I599" s="19"/>
      <c r="J599" s="19"/>
    </row>
    <row r="600" spans="2:10" ht="15.5">
      <c r="B600" s="19"/>
      <c r="C600" s="19"/>
      <c r="D600" s="19"/>
      <c r="E600" s="19"/>
      <c r="F600" s="19"/>
      <c r="G600" s="19"/>
      <c r="H600" s="19"/>
      <c r="I600" s="19"/>
      <c r="J600" s="19"/>
    </row>
    <row r="601" spans="2:10" ht="15.5">
      <c r="B601" s="19"/>
      <c r="C601" s="19"/>
      <c r="D601" s="19"/>
      <c r="E601" s="19"/>
      <c r="F601" s="19"/>
      <c r="G601" s="19"/>
      <c r="H601" s="19"/>
      <c r="I601" s="19"/>
      <c r="J601" s="19"/>
    </row>
    <row r="602" spans="2:10" ht="15.5">
      <c r="B602" s="19"/>
      <c r="C602" s="19"/>
      <c r="D602" s="19"/>
      <c r="E602" s="19"/>
      <c r="F602" s="19"/>
      <c r="G602" s="19"/>
      <c r="H602" s="19"/>
      <c r="I602" s="19"/>
      <c r="J602" s="19"/>
    </row>
    <row r="603" spans="2:10" ht="15.5">
      <c r="B603" s="19"/>
      <c r="C603" s="19"/>
      <c r="D603" s="19"/>
      <c r="E603" s="19"/>
      <c r="F603" s="19"/>
      <c r="G603" s="19"/>
      <c r="H603" s="19"/>
      <c r="I603" s="19"/>
      <c r="J603" s="19"/>
    </row>
    <row r="604" spans="2:10" ht="15.5">
      <c r="B604" s="19"/>
      <c r="C604" s="19"/>
      <c r="D604" s="19"/>
      <c r="E604" s="19"/>
      <c r="F604" s="19"/>
      <c r="G604" s="19"/>
      <c r="H604" s="19"/>
      <c r="I604" s="19"/>
      <c r="J604" s="19"/>
    </row>
    <row r="605" spans="2:10" ht="15.5">
      <c r="B605" s="19"/>
      <c r="C605" s="19"/>
      <c r="D605" s="19"/>
      <c r="E605" s="19"/>
      <c r="F605" s="19"/>
      <c r="G605" s="19"/>
      <c r="H605" s="19"/>
      <c r="I605" s="19"/>
      <c r="J605" s="19"/>
    </row>
    <row r="606" spans="2:10" ht="15.5">
      <c r="B606" s="19"/>
      <c r="C606" s="19"/>
      <c r="D606" s="19"/>
      <c r="E606" s="19"/>
      <c r="F606" s="19"/>
      <c r="G606" s="19"/>
      <c r="H606" s="19"/>
      <c r="I606" s="19"/>
      <c r="J606" s="19"/>
    </row>
    <row r="607" spans="2:10" ht="15.5">
      <c r="B607" s="19"/>
      <c r="C607" s="19"/>
      <c r="D607" s="19"/>
      <c r="E607" s="19"/>
      <c r="F607" s="19"/>
      <c r="G607" s="19"/>
      <c r="H607" s="19"/>
      <c r="I607" s="19"/>
      <c r="J607" s="19"/>
    </row>
    <row r="608" spans="2:10" ht="15.5">
      <c r="B608" s="19"/>
      <c r="C608" s="19"/>
      <c r="D608" s="19"/>
      <c r="E608" s="19"/>
      <c r="F608" s="19"/>
      <c r="G608" s="19"/>
      <c r="H608" s="19"/>
      <c r="I608" s="19"/>
      <c r="J608" s="19"/>
    </row>
    <row r="609" spans="2:10" ht="15.5">
      <c r="B609" s="19"/>
      <c r="C609" s="19"/>
      <c r="D609" s="19"/>
      <c r="E609" s="19"/>
      <c r="F609" s="19"/>
      <c r="G609" s="19"/>
      <c r="H609" s="19"/>
      <c r="I609" s="19"/>
      <c r="J609" s="19"/>
    </row>
    <row r="610" spans="2:10" ht="15.5">
      <c r="B610" s="19"/>
      <c r="C610" s="19"/>
      <c r="D610" s="19"/>
      <c r="E610" s="19"/>
      <c r="F610" s="19"/>
      <c r="G610" s="19"/>
      <c r="H610" s="19"/>
      <c r="I610" s="19"/>
      <c r="J610" s="19"/>
    </row>
    <row r="611" spans="2:10" ht="15.5">
      <c r="B611" s="19"/>
      <c r="C611" s="19"/>
      <c r="D611" s="19"/>
      <c r="E611" s="19"/>
      <c r="F611" s="19"/>
      <c r="G611" s="19"/>
      <c r="H611" s="19"/>
      <c r="I611" s="19"/>
      <c r="J611" s="19"/>
    </row>
    <row r="612" spans="2:10" ht="15.5">
      <c r="B612" s="19"/>
      <c r="C612" s="19"/>
      <c r="D612" s="19"/>
      <c r="E612" s="19"/>
      <c r="F612" s="19"/>
      <c r="G612" s="19"/>
      <c r="H612" s="19"/>
      <c r="I612" s="19"/>
      <c r="J612" s="19"/>
    </row>
    <row r="613" spans="2:10" ht="15.5">
      <c r="B613" s="19"/>
      <c r="C613" s="19"/>
      <c r="D613" s="19"/>
      <c r="E613" s="19"/>
      <c r="F613" s="19"/>
      <c r="G613" s="19"/>
      <c r="H613" s="19"/>
      <c r="I613" s="19"/>
      <c r="J613" s="19"/>
    </row>
    <row r="614" spans="2:10" ht="15.5">
      <c r="B614" s="19"/>
      <c r="C614" s="19"/>
      <c r="D614" s="19"/>
      <c r="E614" s="19"/>
      <c r="F614" s="19"/>
      <c r="G614" s="19"/>
      <c r="H614" s="19"/>
      <c r="I614" s="19"/>
      <c r="J614" s="19"/>
    </row>
    <row r="615" spans="2:10" ht="15.5">
      <c r="B615" s="19"/>
      <c r="C615" s="19"/>
      <c r="D615" s="19"/>
      <c r="E615" s="19"/>
      <c r="F615" s="19"/>
      <c r="G615" s="19"/>
      <c r="H615" s="19"/>
      <c r="I615" s="19"/>
      <c r="J615" s="19"/>
    </row>
    <row r="616" spans="2:10" ht="15.5">
      <c r="B616" s="19"/>
      <c r="C616" s="19"/>
      <c r="D616" s="19"/>
      <c r="E616" s="19"/>
      <c r="F616" s="19"/>
      <c r="G616" s="19"/>
      <c r="H616" s="19"/>
      <c r="I616" s="19"/>
      <c r="J616" s="19"/>
    </row>
    <row r="617" spans="2:10" ht="15.5">
      <c r="B617" s="19"/>
      <c r="C617" s="19"/>
      <c r="D617" s="19"/>
      <c r="E617" s="19"/>
      <c r="F617" s="19"/>
      <c r="G617" s="19"/>
      <c r="H617" s="19"/>
      <c r="I617" s="19"/>
      <c r="J617" s="19"/>
    </row>
    <row r="618" spans="2:10" ht="15.5">
      <c r="B618" s="19"/>
      <c r="C618" s="19"/>
      <c r="D618" s="19"/>
      <c r="E618" s="19"/>
      <c r="F618" s="19"/>
      <c r="G618" s="19"/>
      <c r="H618" s="19"/>
      <c r="I618" s="19"/>
      <c r="J618" s="19"/>
    </row>
    <row r="619" spans="2:10" ht="15.5">
      <c r="B619" s="19"/>
      <c r="C619" s="19"/>
      <c r="D619" s="19"/>
      <c r="E619" s="19"/>
      <c r="F619" s="19"/>
      <c r="G619" s="19"/>
      <c r="H619" s="19"/>
      <c r="I619" s="19"/>
      <c r="J619" s="19"/>
    </row>
    <row r="620" spans="2:10" ht="15.5">
      <c r="B620" s="19"/>
      <c r="C620" s="19"/>
      <c r="D620" s="19"/>
      <c r="E620" s="19"/>
      <c r="F620" s="19"/>
      <c r="G620" s="19"/>
      <c r="H620" s="19"/>
      <c r="I620" s="19"/>
      <c r="J620" s="19"/>
    </row>
    <row r="621" spans="2:10" ht="15.5">
      <c r="B621" s="19"/>
      <c r="C621" s="19"/>
      <c r="D621" s="19"/>
      <c r="E621" s="19"/>
      <c r="F621" s="19"/>
      <c r="G621" s="19"/>
      <c r="H621" s="19"/>
      <c r="I621" s="19"/>
      <c r="J621" s="19"/>
    </row>
    <row r="622" spans="2:10" ht="15.5">
      <c r="B622" s="19"/>
      <c r="C622" s="19"/>
      <c r="D622" s="19"/>
      <c r="E622" s="19"/>
      <c r="F622" s="19"/>
      <c r="G622" s="19"/>
      <c r="H622" s="19"/>
      <c r="I622" s="19"/>
      <c r="J622" s="19"/>
    </row>
    <row r="623" spans="2:10" ht="15.5">
      <c r="B623" s="19"/>
      <c r="C623" s="19"/>
      <c r="D623" s="19"/>
      <c r="E623" s="19"/>
      <c r="F623" s="19"/>
      <c r="G623" s="19"/>
      <c r="H623" s="19"/>
      <c r="I623" s="19"/>
      <c r="J623" s="19"/>
    </row>
    <row r="624" spans="2:10" ht="15.5">
      <c r="B624" s="19"/>
      <c r="C624" s="19"/>
      <c r="D624" s="19"/>
      <c r="E624" s="19"/>
      <c r="F624" s="19"/>
      <c r="G624" s="19"/>
      <c r="H624" s="19"/>
      <c r="I624" s="19"/>
      <c r="J624" s="19"/>
    </row>
    <row r="625" spans="2:10" ht="15.5">
      <c r="B625" s="19"/>
      <c r="C625" s="19"/>
      <c r="D625" s="19"/>
      <c r="E625" s="19"/>
      <c r="F625" s="19"/>
      <c r="G625" s="19"/>
      <c r="H625" s="19"/>
      <c r="I625" s="19"/>
      <c r="J625" s="19"/>
    </row>
    <row r="626" spans="2:10" ht="15.5">
      <c r="B626" s="19"/>
      <c r="C626" s="19"/>
      <c r="D626" s="19"/>
      <c r="E626" s="19"/>
      <c r="F626" s="19"/>
      <c r="G626" s="19"/>
      <c r="H626" s="19"/>
      <c r="I626" s="19"/>
      <c r="J626" s="19"/>
    </row>
    <row r="627" spans="2:10" ht="15.5">
      <c r="B627" s="19"/>
      <c r="C627" s="19"/>
      <c r="D627" s="19"/>
      <c r="E627" s="19"/>
      <c r="F627" s="19"/>
      <c r="G627" s="19"/>
      <c r="H627" s="19"/>
      <c r="I627" s="19"/>
      <c r="J627" s="19"/>
    </row>
    <row r="628" spans="2:10" ht="15.5">
      <c r="B628" s="19"/>
      <c r="C628" s="19"/>
      <c r="D628" s="19"/>
      <c r="E628" s="19"/>
      <c r="F628" s="19"/>
      <c r="G628" s="19"/>
      <c r="H628" s="19"/>
      <c r="I628" s="19"/>
      <c r="J628" s="19"/>
    </row>
    <row r="629" spans="2:10" ht="15.5">
      <c r="B629" s="19"/>
      <c r="C629" s="19"/>
      <c r="D629" s="19"/>
      <c r="E629" s="19"/>
      <c r="F629" s="19"/>
      <c r="G629" s="19"/>
      <c r="H629" s="19"/>
      <c r="I629" s="19"/>
      <c r="J629" s="19"/>
    </row>
    <row r="630" spans="2:10" ht="15.5">
      <c r="B630" s="19"/>
      <c r="C630" s="19"/>
      <c r="D630" s="19"/>
      <c r="E630" s="19"/>
      <c r="F630" s="19"/>
      <c r="G630" s="19"/>
      <c r="H630" s="19"/>
      <c r="I630" s="19"/>
      <c r="J630" s="19"/>
    </row>
    <row r="631" spans="2:10" ht="15.5">
      <c r="B631" s="19"/>
      <c r="C631" s="19"/>
      <c r="D631" s="19"/>
      <c r="E631" s="19"/>
      <c r="F631" s="19"/>
      <c r="G631" s="19"/>
      <c r="H631" s="19"/>
      <c r="I631" s="19"/>
      <c r="J631" s="19"/>
    </row>
    <row r="632" spans="2:10" ht="15.5">
      <c r="B632" s="19"/>
      <c r="C632" s="19"/>
      <c r="D632" s="19"/>
      <c r="E632" s="19"/>
      <c r="F632" s="19"/>
      <c r="G632" s="19"/>
      <c r="H632" s="19"/>
      <c r="I632" s="19"/>
      <c r="J632" s="19"/>
    </row>
    <row r="633" spans="2:10" ht="15.5">
      <c r="B633" s="19"/>
      <c r="C633" s="19"/>
      <c r="D633" s="19"/>
      <c r="E633" s="19"/>
      <c r="F633" s="19"/>
      <c r="G633" s="19"/>
      <c r="H633" s="19"/>
      <c r="I633" s="19"/>
      <c r="J633" s="19"/>
    </row>
    <row r="634" spans="2:10" ht="15.5">
      <c r="B634" s="19"/>
      <c r="C634" s="19"/>
      <c r="D634" s="19"/>
      <c r="E634" s="19"/>
      <c r="F634" s="19"/>
      <c r="G634" s="19"/>
      <c r="H634" s="19"/>
      <c r="I634" s="19"/>
      <c r="J634" s="19"/>
    </row>
    <row r="635" spans="2:10" ht="15.5">
      <c r="B635" s="19"/>
      <c r="C635" s="19"/>
      <c r="D635" s="19"/>
      <c r="E635" s="19"/>
      <c r="F635" s="19"/>
      <c r="G635" s="19"/>
      <c r="H635" s="19"/>
      <c r="I635" s="19"/>
      <c r="J635" s="19"/>
    </row>
    <row r="636" spans="2:10" ht="15.5">
      <c r="B636" s="19"/>
      <c r="C636" s="19"/>
      <c r="D636" s="19"/>
      <c r="E636" s="19"/>
      <c r="F636" s="19"/>
      <c r="G636" s="19"/>
      <c r="H636" s="19"/>
      <c r="I636" s="19"/>
      <c r="J636" s="19"/>
    </row>
    <row r="637" spans="2:10" ht="15.5">
      <c r="B637" s="19"/>
      <c r="C637" s="19"/>
      <c r="D637" s="19"/>
      <c r="E637" s="19"/>
      <c r="F637" s="19"/>
      <c r="G637" s="19"/>
      <c r="H637" s="19"/>
      <c r="I637" s="19"/>
      <c r="J637" s="19"/>
    </row>
    <row r="638" spans="2:10" ht="15.5">
      <c r="B638" s="19"/>
      <c r="C638" s="19"/>
      <c r="D638" s="19"/>
      <c r="E638" s="19"/>
      <c r="F638" s="19"/>
      <c r="G638" s="19"/>
      <c r="H638" s="19"/>
      <c r="I638" s="19"/>
      <c r="J638" s="19"/>
    </row>
    <row r="639" spans="2:10" ht="15.5">
      <c r="B639" s="19"/>
      <c r="C639" s="19"/>
      <c r="D639" s="19"/>
      <c r="E639" s="19"/>
      <c r="F639" s="19"/>
      <c r="G639" s="19"/>
      <c r="H639" s="19"/>
      <c r="I639" s="19"/>
      <c r="J639" s="19"/>
    </row>
    <row r="640" spans="2:10" ht="15.5">
      <c r="B640" s="19"/>
      <c r="C640" s="19"/>
      <c r="D640" s="19"/>
      <c r="E640" s="19"/>
      <c r="F640" s="19"/>
      <c r="G640" s="19"/>
      <c r="H640" s="19"/>
      <c r="I640" s="19"/>
      <c r="J640" s="19"/>
    </row>
    <row r="641" spans="2:10" ht="15.5">
      <c r="B641" s="19"/>
      <c r="C641" s="19"/>
      <c r="D641" s="19"/>
      <c r="E641" s="19"/>
      <c r="F641" s="19"/>
      <c r="G641" s="19"/>
      <c r="H641" s="19"/>
      <c r="I641" s="19"/>
      <c r="J641" s="19"/>
    </row>
    <row r="642" spans="2:10" ht="15.5">
      <c r="B642" s="19"/>
      <c r="C642" s="19"/>
      <c r="D642" s="19"/>
      <c r="E642" s="19"/>
      <c r="F642" s="19"/>
      <c r="G642" s="19"/>
      <c r="H642" s="19"/>
      <c r="I642" s="19"/>
      <c r="J642" s="19"/>
    </row>
    <row r="643" spans="2:10" ht="15.5">
      <c r="B643" s="19"/>
      <c r="C643" s="19"/>
      <c r="D643" s="19"/>
      <c r="E643" s="19"/>
      <c r="F643" s="19"/>
      <c r="G643" s="19"/>
      <c r="H643" s="19"/>
      <c r="I643" s="19"/>
      <c r="J643" s="19"/>
    </row>
    <row r="644" spans="2:10" ht="15.5">
      <c r="B644" s="19"/>
      <c r="C644" s="19"/>
      <c r="D644" s="19"/>
      <c r="E644" s="19"/>
      <c r="F644" s="19"/>
      <c r="G644" s="19"/>
      <c r="H644" s="19"/>
      <c r="I644" s="19"/>
      <c r="J644" s="19"/>
    </row>
    <row r="645" spans="2:10" ht="15.5">
      <c r="B645" s="19"/>
      <c r="C645" s="19"/>
      <c r="D645" s="19"/>
      <c r="E645" s="19"/>
      <c r="F645" s="19"/>
      <c r="G645" s="19"/>
      <c r="H645" s="19"/>
      <c r="I645" s="19"/>
      <c r="J645" s="19"/>
    </row>
    <row r="646" spans="2:10" ht="15.5">
      <c r="B646" s="19"/>
      <c r="C646" s="19"/>
      <c r="D646" s="19"/>
      <c r="E646" s="19"/>
      <c r="F646" s="19"/>
      <c r="G646" s="19"/>
      <c r="H646" s="19"/>
      <c r="I646" s="19"/>
      <c r="J646" s="19"/>
    </row>
    <row r="647" spans="2:10" ht="15.5">
      <c r="B647" s="19"/>
      <c r="C647" s="19"/>
      <c r="D647" s="19"/>
      <c r="E647" s="19"/>
      <c r="F647" s="19"/>
      <c r="G647" s="19"/>
      <c r="H647" s="19"/>
      <c r="I647" s="19"/>
      <c r="J647" s="19"/>
    </row>
    <row r="648" spans="2:10" ht="15.5">
      <c r="B648" s="19"/>
      <c r="C648" s="19"/>
      <c r="D648" s="19"/>
      <c r="E648" s="19"/>
      <c r="F648" s="19"/>
      <c r="G648" s="19"/>
      <c r="H648" s="19"/>
      <c r="I648" s="19"/>
      <c r="J648" s="19"/>
    </row>
    <row r="649" spans="2:10" ht="15.5">
      <c r="B649" s="19"/>
      <c r="C649" s="19"/>
      <c r="D649" s="19"/>
      <c r="E649" s="19"/>
      <c r="F649" s="19"/>
      <c r="G649" s="19"/>
      <c r="H649" s="19"/>
      <c r="I649" s="19"/>
      <c r="J649" s="19"/>
    </row>
    <row r="650" spans="2:10" ht="15.5">
      <c r="B650" s="19"/>
      <c r="C650" s="19"/>
      <c r="D650" s="19"/>
      <c r="E650" s="19"/>
      <c r="F650" s="19"/>
      <c r="G650" s="19"/>
      <c r="H650" s="19"/>
      <c r="I650" s="19"/>
      <c r="J650" s="19"/>
    </row>
    <row r="651" spans="2:10" ht="15.5">
      <c r="B651" s="19"/>
      <c r="C651" s="19"/>
      <c r="D651" s="19"/>
      <c r="E651" s="19"/>
      <c r="F651" s="19"/>
      <c r="G651" s="19"/>
      <c r="H651" s="19"/>
      <c r="I651" s="19"/>
      <c r="J651" s="19"/>
    </row>
    <row r="652" spans="2:10" ht="15.5">
      <c r="B652" s="19"/>
      <c r="C652" s="19"/>
      <c r="D652" s="19"/>
      <c r="E652" s="19"/>
      <c r="F652" s="19"/>
      <c r="G652" s="19"/>
      <c r="H652" s="19"/>
      <c r="I652" s="19"/>
      <c r="J652" s="19"/>
    </row>
    <row r="653" spans="2:10" ht="15.5">
      <c r="B653" s="19"/>
      <c r="C653" s="19"/>
      <c r="D653" s="19"/>
      <c r="E653" s="19"/>
      <c r="F653" s="19"/>
      <c r="G653" s="19"/>
      <c r="H653" s="19"/>
      <c r="I653" s="19"/>
      <c r="J653" s="19"/>
    </row>
    <row r="654" spans="2:10" ht="15.5">
      <c r="B654" s="19"/>
      <c r="C654" s="19"/>
      <c r="D654" s="19"/>
      <c r="E654" s="19"/>
      <c r="F654" s="19"/>
      <c r="G654" s="19"/>
      <c r="H654" s="19"/>
      <c r="I654" s="19"/>
      <c r="J654" s="19"/>
    </row>
    <row r="655" spans="2:10" ht="15.5">
      <c r="B655" s="19"/>
      <c r="C655" s="19"/>
      <c r="D655" s="19"/>
      <c r="E655" s="19"/>
      <c r="F655" s="19"/>
      <c r="G655" s="19"/>
      <c r="H655" s="19"/>
      <c r="I655" s="19"/>
      <c r="J655" s="19"/>
    </row>
    <row r="656" spans="2:10" ht="15.5">
      <c r="B656" s="19"/>
      <c r="C656" s="19"/>
      <c r="D656" s="19"/>
      <c r="E656" s="19"/>
      <c r="F656" s="19"/>
      <c r="G656" s="19"/>
      <c r="H656" s="19"/>
      <c r="I656" s="19"/>
      <c r="J656" s="19"/>
    </row>
    <row r="657" spans="2:10" ht="15.5">
      <c r="B657" s="19"/>
      <c r="C657" s="19"/>
      <c r="D657" s="19"/>
      <c r="E657" s="19"/>
      <c r="F657" s="19"/>
      <c r="G657" s="19"/>
      <c r="H657" s="19"/>
      <c r="I657" s="19"/>
      <c r="J657" s="19"/>
    </row>
    <row r="658" spans="2:10" ht="15.5">
      <c r="B658" s="19"/>
      <c r="C658" s="19"/>
      <c r="D658" s="19"/>
      <c r="E658" s="19"/>
      <c r="F658" s="19"/>
      <c r="G658" s="19"/>
      <c r="H658" s="19"/>
      <c r="I658" s="19"/>
      <c r="J658" s="19"/>
    </row>
    <row r="659" spans="2:10" ht="15.5">
      <c r="B659" s="19"/>
      <c r="C659" s="19"/>
      <c r="D659" s="19"/>
      <c r="E659" s="19"/>
      <c r="F659" s="19"/>
      <c r="G659" s="19"/>
      <c r="H659" s="19"/>
      <c r="I659" s="19"/>
      <c r="J659" s="19"/>
    </row>
    <row r="660" spans="2:10" ht="15.5">
      <c r="B660" s="19"/>
      <c r="C660" s="19"/>
      <c r="D660" s="19"/>
      <c r="E660" s="19"/>
      <c r="F660" s="19"/>
      <c r="G660" s="19"/>
      <c r="H660" s="19"/>
      <c r="I660" s="19"/>
      <c r="J660" s="19"/>
    </row>
    <row r="661" spans="2:10" ht="15.5">
      <c r="B661" s="19"/>
      <c r="C661" s="19"/>
      <c r="D661" s="19"/>
      <c r="E661" s="19"/>
      <c r="F661" s="19"/>
      <c r="G661" s="19"/>
      <c r="H661" s="19"/>
      <c r="I661" s="19"/>
      <c r="J661" s="19"/>
    </row>
    <row r="662" spans="2:10" ht="15.5">
      <c r="B662" s="19"/>
      <c r="C662" s="19"/>
      <c r="D662" s="19"/>
      <c r="E662" s="19"/>
      <c r="F662" s="19"/>
      <c r="G662" s="19"/>
      <c r="H662" s="19"/>
      <c r="I662" s="19"/>
      <c r="J662" s="19"/>
    </row>
    <row r="663" spans="2:10" ht="15.5">
      <c r="B663" s="19"/>
      <c r="C663" s="19"/>
      <c r="D663" s="19"/>
      <c r="E663" s="19"/>
      <c r="F663" s="19"/>
      <c r="G663" s="19"/>
      <c r="H663" s="19"/>
      <c r="I663" s="19"/>
      <c r="J663" s="19"/>
    </row>
    <row r="664" spans="2:10" ht="15.5">
      <c r="B664" s="19"/>
      <c r="C664" s="19"/>
      <c r="D664" s="19"/>
      <c r="E664" s="19"/>
      <c r="F664" s="19"/>
      <c r="G664" s="19"/>
      <c r="H664" s="19"/>
      <c r="I664" s="19"/>
      <c r="J664" s="19"/>
    </row>
    <row r="665" spans="2:10" ht="15.5">
      <c r="B665" s="19"/>
      <c r="C665" s="19"/>
      <c r="D665" s="19"/>
      <c r="E665" s="19"/>
      <c r="F665" s="19"/>
      <c r="G665" s="19"/>
      <c r="H665" s="19"/>
      <c r="I665" s="19"/>
      <c r="J665" s="19"/>
    </row>
    <row r="666" spans="2:10" ht="15.5">
      <c r="B666" s="19"/>
      <c r="C666" s="19"/>
      <c r="D666" s="19"/>
      <c r="E666" s="19"/>
      <c r="F666" s="19"/>
      <c r="G666" s="19"/>
      <c r="H666" s="19"/>
      <c r="I666" s="19"/>
      <c r="J666" s="19"/>
    </row>
    <row r="667" spans="2:10" ht="15.5">
      <c r="B667" s="19"/>
      <c r="C667" s="19"/>
      <c r="D667" s="19"/>
      <c r="E667" s="19"/>
      <c r="F667" s="19"/>
      <c r="G667" s="19"/>
      <c r="H667" s="19"/>
      <c r="I667" s="19"/>
      <c r="J667" s="19"/>
    </row>
    <row r="668" spans="2:10" ht="15.5">
      <c r="B668" s="19"/>
      <c r="C668" s="19"/>
      <c r="D668" s="19"/>
      <c r="E668" s="19"/>
      <c r="F668" s="19"/>
      <c r="G668" s="19"/>
      <c r="H668" s="19"/>
      <c r="I668" s="19"/>
      <c r="J668" s="19"/>
    </row>
    <row r="669" spans="2:10" ht="15.5">
      <c r="B669" s="19"/>
      <c r="C669" s="19"/>
      <c r="D669" s="19"/>
      <c r="E669" s="19"/>
      <c r="F669" s="19"/>
      <c r="G669" s="19"/>
      <c r="H669" s="19"/>
      <c r="I669" s="19"/>
      <c r="J669" s="19"/>
    </row>
    <row r="670" spans="2:10" ht="15.5">
      <c r="B670" s="19"/>
      <c r="C670" s="19"/>
      <c r="D670" s="19"/>
      <c r="E670" s="19"/>
      <c r="F670" s="19"/>
      <c r="G670" s="19"/>
      <c r="H670" s="19"/>
      <c r="I670" s="19"/>
      <c r="J670" s="19"/>
    </row>
    <row r="671" spans="2:10" ht="15.5">
      <c r="B671" s="19"/>
      <c r="C671" s="19"/>
      <c r="D671" s="19"/>
      <c r="E671" s="19"/>
      <c r="F671" s="19"/>
      <c r="G671" s="19"/>
      <c r="H671" s="19"/>
      <c r="I671" s="19"/>
      <c r="J671" s="19"/>
    </row>
    <row r="672" spans="2:10" ht="15.5">
      <c r="B672" s="19"/>
      <c r="C672" s="19"/>
      <c r="D672" s="19"/>
      <c r="E672" s="19"/>
      <c r="F672" s="19"/>
      <c r="G672" s="19"/>
      <c r="H672" s="19"/>
      <c r="I672" s="19"/>
      <c r="J672" s="19"/>
    </row>
    <row r="673" spans="2:10" ht="15.5">
      <c r="B673" s="19"/>
      <c r="C673" s="19"/>
      <c r="D673" s="19"/>
      <c r="E673" s="19"/>
      <c r="F673" s="19"/>
      <c r="G673" s="19"/>
      <c r="H673" s="19"/>
      <c r="I673" s="19"/>
      <c r="J673" s="19"/>
    </row>
    <row r="674" spans="2:10" ht="15.5">
      <c r="B674" s="19"/>
      <c r="C674" s="19"/>
      <c r="D674" s="19"/>
      <c r="E674" s="19"/>
      <c r="F674" s="19"/>
      <c r="G674" s="19"/>
      <c r="H674" s="19"/>
      <c r="I674" s="19"/>
      <c r="J674" s="19"/>
    </row>
    <row r="675" spans="2:10" ht="15.5">
      <c r="B675" s="19"/>
      <c r="C675" s="19"/>
      <c r="D675" s="19"/>
      <c r="E675" s="19"/>
      <c r="F675" s="19"/>
      <c r="G675" s="19"/>
      <c r="H675" s="19"/>
      <c r="I675" s="19"/>
      <c r="J675" s="19"/>
    </row>
    <row r="676" spans="2:10" ht="15.5">
      <c r="B676" s="19"/>
      <c r="C676" s="19"/>
      <c r="D676" s="19"/>
      <c r="E676" s="19"/>
      <c r="F676" s="19"/>
      <c r="G676" s="19"/>
      <c r="H676" s="19"/>
      <c r="I676" s="19"/>
      <c r="J676" s="19"/>
    </row>
    <row r="677" spans="2:10" ht="15.5">
      <c r="B677" s="19"/>
      <c r="C677" s="19"/>
      <c r="D677" s="19"/>
      <c r="E677" s="19"/>
      <c r="F677" s="19"/>
      <c r="G677" s="19"/>
      <c r="H677" s="19"/>
      <c r="I677" s="19"/>
      <c r="J677" s="19"/>
    </row>
    <row r="678" spans="2:10" ht="15.5">
      <c r="B678" s="19"/>
      <c r="C678" s="19"/>
      <c r="D678" s="19"/>
      <c r="E678" s="19"/>
      <c r="F678" s="19"/>
      <c r="G678" s="19"/>
      <c r="H678" s="19"/>
      <c r="I678" s="19"/>
      <c r="J678" s="19"/>
    </row>
    <row r="679" spans="2:10" ht="15.5">
      <c r="B679" s="19"/>
      <c r="C679" s="19"/>
      <c r="D679" s="19"/>
      <c r="E679" s="19"/>
      <c r="F679" s="19"/>
      <c r="G679" s="19"/>
      <c r="H679" s="19"/>
      <c r="I679" s="19"/>
      <c r="J679" s="19"/>
    </row>
    <row r="680" spans="2:10" ht="15.5">
      <c r="B680" s="19"/>
      <c r="C680" s="19"/>
      <c r="D680" s="19"/>
      <c r="E680" s="19"/>
      <c r="F680" s="19"/>
      <c r="G680" s="19"/>
      <c r="H680" s="19"/>
      <c r="I680" s="19"/>
      <c r="J680" s="19"/>
    </row>
    <row r="681" spans="2:10" ht="15.5">
      <c r="B681" s="19"/>
      <c r="C681" s="19"/>
      <c r="D681" s="19"/>
      <c r="E681" s="19"/>
      <c r="F681" s="19"/>
      <c r="G681" s="19"/>
      <c r="H681" s="19"/>
      <c r="I681" s="19"/>
      <c r="J681" s="19"/>
    </row>
    <row r="682" spans="2:10" ht="15.5">
      <c r="B682" s="19"/>
      <c r="C682" s="19"/>
      <c r="D682" s="19"/>
      <c r="E682" s="19"/>
      <c r="F682" s="19"/>
      <c r="G682" s="19"/>
      <c r="H682" s="19"/>
      <c r="I682" s="19"/>
      <c r="J682" s="19"/>
    </row>
    <row r="683" spans="2:10" ht="15.5">
      <c r="B683" s="19"/>
      <c r="C683" s="19"/>
      <c r="D683" s="19"/>
      <c r="E683" s="19"/>
      <c r="F683" s="19"/>
      <c r="G683" s="19"/>
      <c r="H683" s="19"/>
      <c r="I683" s="19"/>
      <c r="J683" s="19"/>
    </row>
    <row r="684" spans="2:10" ht="15.5">
      <c r="B684" s="19"/>
      <c r="C684" s="19"/>
      <c r="D684" s="19"/>
      <c r="E684" s="19"/>
      <c r="F684" s="19"/>
      <c r="G684" s="19"/>
      <c r="H684" s="19"/>
      <c r="I684" s="19"/>
      <c r="J684" s="19"/>
    </row>
    <row r="685" spans="2:10" ht="15.5">
      <c r="B685" s="19"/>
      <c r="C685" s="19"/>
      <c r="D685" s="19"/>
      <c r="E685" s="19"/>
      <c r="F685" s="19"/>
      <c r="G685" s="19"/>
      <c r="H685" s="19"/>
      <c r="I685" s="19"/>
      <c r="J685" s="19"/>
    </row>
    <row r="686" spans="2:10" ht="15.5">
      <c r="B686" s="19"/>
      <c r="C686" s="19"/>
      <c r="D686" s="19"/>
      <c r="E686" s="19"/>
      <c r="F686" s="19"/>
      <c r="G686" s="19"/>
      <c r="H686" s="19"/>
      <c r="I686" s="19"/>
      <c r="J686" s="19"/>
    </row>
    <row r="687" spans="2:10" ht="15.5">
      <c r="B687" s="19"/>
      <c r="C687" s="19"/>
      <c r="D687" s="19"/>
      <c r="E687" s="19"/>
      <c r="F687" s="19"/>
      <c r="G687" s="19"/>
      <c r="H687" s="19"/>
      <c r="I687" s="19"/>
      <c r="J687" s="19"/>
    </row>
    <row r="688" spans="2:10" ht="15.5">
      <c r="B688" s="19"/>
      <c r="C688" s="19"/>
      <c r="D688" s="19"/>
      <c r="E688" s="19"/>
      <c r="F688" s="19"/>
      <c r="G688" s="19"/>
      <c r="H688" s="19"/>
      <c r="I688" s="19"/>
      <c r="J688" s="19"/>
    </row>
    <row r="689" spans="2:10" ht="15.5">
      <c r="B689" s="19"/>
      <c r="C689" s="19"/>
      <c r="D689" s="19"/>
      <c r="E689" s="19"/>
      <c r="F689" s="19"/>
      <c r="G689" s="19"/>
      <c r="H689" s="19"/>
      <c r="I689" s="19"/>
      <c r="J689" s="19"/>
    </row>
    <row r="690" spans="2:10" ht="15.5">
      <c r="B690" s="19"/>
      <c r="C690" s="19"/>
      <c r="D690" s="19"/>
      <c r="E690" s="19"/>
      <c r="F690" s="19"/>
      <c r="G690" s="19"/>
      <c r="H690" s="19"/>
      <c r="I690" s="19"/>
      <c r="J690" s="19"/>
    </row>
    <row r="691" spans="2:10" ht="15.5">
      <c r="B691" s="19"/>
      <c r="C691" s="19"/>
      <c r="D691" s="19"/>
      <c r="E691" s="19"/>
      <c r="F691" s="19"/>
      <c r="G691" s="19"/>
      <c r="H691" s="19"/>
      <c r="I691" s="19"/>
      <c r="J691" s="19"/>
    </row>
    <row r="692" spans="2:10" ht="15.5">
      <c r="B692" s="19"/>
      <c r="C692" s="19"/>
      <c r="D692" s="19"/>
      <c r="E692" s="19"/>
      <c r="F692" s="19"/>
      <c r="G692" s="19"/>
      <c r="H692" s="19"/>
      <c r="I692" s="19"/>
      <c r="J692" s="19"/>
    </row>
    <row r="693" spans="2:10" ht="15.5">
      <c r="B693" s="19"/>
      <c r="C693" s="19"/>
      <c r="D693" s="19"/>
      <c r="E693" s="19"/>
      <c r="F693" s="19"/>
      <c r="G693" s="19"/>
      <c r="H693" s="19"/>
      <c r="I693" s="19"/>
      <c r="J693" s="19"/>
    </row>
    <row r="694" spans="2:10" ht="15.5">
      <c r="B694" s="19"/>
      <c r="C694" s="19"/>
      <c r="D694" s="19"/>
      <c r="E694" s="19"/>
      <c r="F694" s="19"/>
      <c r="G694" s="19"/>
      <c r="H694" s="19"/>
      <c r="I694" s="19"/>
      <c r="J694" s="19"/>
    </row>
    <row r="695" spans="2:10" ht="15.5">
      <c r="B695" s="19"/>
      <c r="C695" s="19"/>
      <c r="D695" s="19"/>
      <c r="E695" s="19"/>
      <c r="F695" s="19"/>
      <c r="G695" s="19"/>
      <c r="H695" s="19"/>
      <c r="I695" s="19"/>
      <c r="J695" s="19"/>
    </row>
    <row r="696" spans="2:10" ht="15.5">
      <c r="B696" s="19"/>
      <c r="C696" s="19"/>
      <c r="D696" s="19"/>
      <c r="E696" s="19"/>
      <c r="F696" s="19"/>
      <c r="G696" s="19"/>
      <c r="H696" s="19"/>
      <c r="I696" s="19"/>
      <c r="J696" s="19"/>
    </row>
    <row r="697" spans="2:10" ht="15.5">
      <c r="B697" s="19"/>
      <c r="C697" s="19"/>
      <c r="D697" s="19"/>
      <c r="E697" s="19"/>
      <c r="F697" s="19"/>
      <c r="G697" s="19"/>
      <c r="H697" s="19"/>
      <c r="I697" s="19"/>
      <c r="J697" s="19"/>
    </row>
    <row r="698" spans="2:10" ht="15.5">
      <c r="B698" s="19"/>
      <c r="C698" s="19"/>
      <c r="D698" s="19"/>
      <c r="E698" s="19"/>
      <c r="F698" s="19"/>
      <c r="G698" s="19"/>
      <c r="H698" s="19"/>
      <c r="I698" s="19"/>
      <c r="J698" s="19"/>
    </row>
    <row r="699" spans="2:10" ht="15.5">
      <c r="B699" s="19"/>
      <c r="C699" s="19"/>
      <c r="D699" s="19"/>
      <c r="E699" s="19"/>
      <c r="F699" s="19"/>
      <c r="G699" s="19"/>
      <c r="H699" s="19"/>
      <c r="I699" s="19"/>
      <c r="J699" s="19"/>
    </row>
    <row r="700" spans="2:10" ht="15.5">
      <c r="B700" s="19"/>
      <c r="C700" s="19"/>
      <c r="D700" s="19"/>
      <c r="E700" s="19"/>
      <c r="F700" s="19"/>
      <c r="G700" s="19"/>
      <c r="H700" s="19"/>
      <c r="I700" s="19"/>
      <c r="J700" s="19"/>
    </row>
    <row r="701" spans="2:10" ht="15.5">
      <c r="B701" s="19"/>
      <c r="C701" s="19"/>
      <c r="D701" s="19"/>
      <c r="E701" s="19"/>
      <c r="F701" s="19"/>
      <c r="G701" s="19"/>
      <c r="H701" s="19"/>
      <c r="I701" s="19"/>
      <c r="J701" s="19"/>
    </row>
    <row r="702" spans="2:10" ht="15.5">
      <c r="B702" s="19"/>
      <c r="C702" s="19"/>
      <c r="D702" s="19"/>
      <c r="E702" s="19"/>
      <c r="F702" s="19"/>
      <c r="G702" s="19"/>
      <c r="H702" s="19"/>
      <c r="I702" s="19"/>
      <c r="J702" s="19"/>
    </row>
    <row r="703" spans="2:10" ht="15.5">
      <c r="B703" s="19"/>
      <c r="C703" s="19"/>
      <c r="D703" s="19"/>
      <c r="E703" s="19"/>
      <c r="F703" s="19"/>
      <c r="G703" s="19"/>
      <c r="H703" s="19"/>
      <c r="I703" s="19"/>
      <c r="J703" s="19"/>
    </row>
    <row r="704" spans="2:10" ht="15.5">
      <c r="B704" s="19"/>
      <c r="C704" s="19"/>
      <c r="D704" s="19"/>
      <c r="E704" s="19"/>
      <c r="F704" s="19"/>
      <c r="G704" s="19"/>
      <c r="H704" s="19"/>
      <c r="I704" s="19"/>
      <c r="J704" s="19"/>
    </row>
    <row r="705" spans="2:10" ht="15.5">
      <c r="B705" s="19"/>
      <c r="C705" s="19"/>
      <c r="D705" s="19"/>
      <c r="E705" s="19"/>
      <c r="F705" s="19"/>
      <c r="G705" s="19"/>
      <c r="H705" s="19"/>
      <c r="I705" s="19"/>
      <c r="J705" s="19"/>
    </row>
    <row r="706" spans="2:10" ht="15.5">
      <c r="B706" s="19"/>
      <c r="C706" s="19"/>
      <c r="D706" s="19"/>
      <c r="E706" s="19"/>
      <c r="F706" s="19"/>
      <c r="G706" s="19"/>
      <c r="H706" s="19"/>
      <c r="I706" s="19"/>
      <c r="J706" s="19"/>
    </row>
    <row r="707" spans="2:10" ht="15.5">
      <c r="B707" s="19"/>
      <c r="C707" s="19"/>
      <c r="D707" s="19"/>
      <c r="E707" s="19"/>
      <c r="F707" s="19"/>
      <c r="G707" s="19"/>
      <c r="H707" s="19"/>
      <c r="I707" s="19"/>
      <c r="J707" s="19"/>
    </row>
    <row r="708" spans="2:10" ht="15.5">
      <c r="B708" s="19"/>
      <c r="C708" s="19"/>
      <c r="D708" s="19"/>
      <c r="E708" s="19"/>
      <c r="F708" s="19"/>
      <c r="G708" s="19"/>
      <c r="H708" s="19"/>
      <c r="I708" s="19"/>
      <c r="J708" s="19"/>
    </row>
    <row r="709" spans="2:10" ht="15.5">
      <c r="B709" s="19"/>
      <c r="C709" s="19"/>
      <c r="D709" s="19"/>
      <c r="E709" s="19"/>
      <c r="F709" s="19"/>
      <c r="G709" s="19"/>
      <c r="H709" s="19"/>
      <c r="I709" s="19"/>
      <c r="J709" s="19"/>
    </row>
    <row r="710" spans="2:10" ht="15.5">
      <c r="B710" s="19"/>
      <c r="C710" s="19"/>
      <c r="D710" s="19"/>
      <c r="E710" s="19"/>
      <c r="F710" s="19"/>
      <c r="G710" s="19"/>
      <c r="H710" s="19"/>
      <c r="I710" s="19"/>
      <c r="J710" s="19"/>
    </row>
    <row r="711" spans="2:10" ht="15.5">
      <c r="B711" s="19"/>
      <c r="C711" s="19"/>
      <c r="D711" s="19"/>
      <c r="E711" s="19"/>
      <c r="F711" s="19"/>
      <c r="G711" s="19"/>
      <c r="H711" s="19"/>
      <c r="I711" s="19"/>
      <c r="J711" s="19"/>
    </row>
    <row r="712" spans="2:10" ht="15.5">
      <c r="B712" s="19"/>
      <c r="C712" s="19"/>
      <c r="D712" s="19"/>
      <c r="E712" s="19"/>
      <c r="F712" s="19"/>
      <c r="G712" s="19"/>
      <c r="H712" s="19"/>
      <c r="I712" s="19"/>
      <c r="J712" s="19"/>
    </row>
    <row r="713" spans="2:10" ht="15.5">
      <c r="B713" s="19"/>
      <c r="C713" s="19"/>
      <c r="D713" s="19"/>
      <c r="E713" s="19"/>
      <c r="F713" s="19"/>
      <c r="G713" s="19"/>
      <c r="H713" s="19"/>
      <c r="I713" s="19"/>
      <c r="J713" s="19"/>
    </row>
    <row r="714" spans="2:10" ht="15.5">
      <c r="B714" s="19"/>
      <c r="C714" s="19"/>
      <c r="D714" s="19"/>
      <c r="E714" s="19"/>
      <c r="F714" s="19"/>
      <c r="G714" s="19"/>
      <c r="H714" s="19"/>
      <c r="I714" s="19"/>
      <c r="J714" s="19"/>
    </row>
    <row r="715" spans="2:10" ht="15.5">
      <c r="B715" s="19"/>
      <c r="C715" s="19"/>
      <c r="D715" s="19"/>
      <c r="E715" s="19"/>
      <c r="F715" s="19"/>
      <c r="G715" s="19"/>
      <c r="H715" s="19"/>
      <c r="I715" s="19"/>
      <c r="J715" s="19"/>
    </row>
    <row r="716" spans="2:10" ht="15.5">
      <c r="B716" s="19"/>
      <c r="C716" s="19"/>
      <c r="D716" s="19"/>
      <c r="E716" s="19"/>
      <c r="F716" s="19"/>
      <c r="G716" s="19"/>
      <c r="H716" s="19"/>
      <c r="I716" s="19"/>
      <c r="J716" s="19"/>
    </row>
    <row r="717" spans="2:10" ht="15.5">
      <c r="B717" s="19"/>
      <c r="C717" s="19"/>
      <c r="D717" s="19"/>
      <c r="E717" s="19"/>
      <c r="F717" s="19"/>
      <c r="G717" s="19"/>
      <c r="H717" s="19"/>
      <c r="I717" s="19"/>
      <c r="J717" s="19"/>
    </row>
    <row r="718" spans="2:10" ht="15.5">
      <c r="B718" s="19"/>
      <c r="C718" s="19"/>
      <c r="D718" s="19"/>
      <c r="E718" s="19"/>
      <c r="F718" s="19"/>
      <c r="G718" s="19"/>
      <c r="H718" s="19"/>
      <c r="I718" s="19"/>
      <c r="J718" s="19"/>
    </row>
    <row r="719" spans="2:10" ht="15.5">
      <c r="B719" s="19"/>
      <c r="C719" s="19"/>
      <c r="D719" s="19"/>
      <c r="E719" s="19"/>
      <c r="F719" s="19"/>
      <c r="G719" s="19"/>
      <c r="H719" s="19"/>
      <c r="I719" s="19"/>
      <c r="J719" s="19"/>
    </row>
    <row r="720" spans="2:10" ht="15.5">
      <c r="B720" s="19"/>
      <c r="C720" s="19"/>
      <c r="D720" s="19"/>
      <c r="E720" s="19"/>
      <c r="F720" s="19"/>
      <c r="G720" s="19"/>
      <c r="H720" s="19"/>
      <c r="I720" s="19"/>
      <c r="J720" s="19"/>
    </row>
    <row r="721" spans="2:10" ht="15.5">
      <c r="B721" s="19"/>
      <c r="C721" s="19"/>
      <c r="D721" s="19"/>
      <c r="E721" s="19"/>
      <c r="F721" s="19"/>
      <c r="G721" s="19"/>
      <c r="H721" s="19"/>
      <c r="I721" s="19"/>
      <c r="J721" s="19"/>
    </row>
    <row r="722" spans="2:10" ht="15.5">
      <c r="B722" s="19"/>
      <c r="C722" s="19"/>
      <c r="D722" s="19"/>
      <c r="E722" s="19"/>
      <c r="F722" s="19"/>
      <c r="G722" s="19"/>
      <c r="H722" s="19"/>
      <c r="I722" s="19"/>
      <c r="J722" s="19"/>
    </row>
    <row r="723" spans="2:10" ht="15.5">
      <c r="B723" s="19"/>
      <c r="C723" s="19"/>
      <c r="D723" s="19"/>
      <c r="E723" s="19"/>
      <c r="F723" s="19"/>
      <c r="G723" s="19"/>
      <c r="H723" s="19"/>
      <c r="I723" s="19"/>
      <c r="J723" s="19"/>
    </row>
    <row r="724" spans="2:10" ht="15.5">
      <c r="B724" s="19"/>
      <c r="C724" s="19"/>
      <c r="D724" s="19"/>
      <c r="E724" s="19"/>
      <c r="F724" s="19"/>
      <c r="G724" s="19"/>
      <c r="H724" s="19"/>
      <c r="I724" s="19"/>
      <c r="J724" s="19"/>
    </row>
    <row r="725" spans="2:10" ht="15.5">
      <c r="B725" s="19"/>
      <c r="C725" s="19"/>
      <c r="D725" s="19"/>
      <c r="E725" s="19"/>
      <c r="F725" s="19"/>
      <c r="G725" s="19"/>
      <c r="H725" s="19"/>
      <c r="I725" s="19"/>
      <c r="J725" s="19"/>
    </row>
    <row r="726" spans="2:10" ht="15.5">
      <c r="B726" s="19"/>
      <c r="C726" s="19"/>
      <c r="D726" s="19"/>
      <c r="E726" s="19"/>
      <c r="F726" s="19"/>
      <c r="G726" s="19"/>
      <c r="H726" s="19"/>
      <c r="I726" s="19"/>
      <c r="J726" s="19"/>
    </row>
    <row r="727" spans="2:10" ht="15.5">
      <c r="B727" s="19"/>
      <c r="C727" s="19"/>
      <c r="D727" s="19"/>
      <c r="E727" s="19"/>
      <c r="F727" s="19"/>
      <c r="G727" s="19"/>
      <c r="H727" s="19"/>
      <c r="I727" s="19"/>
      <c r="J727" s="19"/>
    </row>
    <row r="728" spans="2:10" ht="15.5">
      <c r="B728" s="19"/>
      <c r="C728" s="19"/>
      <c r="D728" s="19"/>
      <c r="E728" s="19"/>
      <c r="F728" s="19"/>
      <c r="G728" s="19"/>
      <c r="H728" s="19"/>
      <c r="I728" s="19"/>
      <c r="J728" s="19"/>
    </row>
    <row r="729" spans="2:10" ht="15.5">
      <c r="B729" s="19"/>
      <c r="C729" s="19"/>
      <c r="D729" s="19"/>
      <c r="E729" s="19"/>
      <c r="F729" s="19"/>
      <c r="G729" s="19"/>
      <c r="H729" s="19"/>
      <c r="I729" s="19"/>
      <c r="J729" s="19"/>
    </row>
    <row r="730" spans="2:10" ht="15.5">
      <c r="B730" s="19"/>
      <c r="C730" s="19"/>
      <c r="D730" s="19"/>
      <c r="E730" s="19"/>
      <c r="F730" s="19"/>
      <c r="G730" s="19"/>
      <c r="H730" s="19"/>
      <c r="I730" s="19"/>
      <c r="J730" s="19"/>
    </row>
    <row r="731" spans="2:10" ht="15.5">
      <c r="B731" s="19"/>
      <c r="C731" s="19"/>
      <c r="D731" s="19"/>
      <c r="E731" s="19"/>
      <c r="F731" s="19"/>
      <c r="G731" s="19"/>
      <c r="H731" s="19"/>
      <c r="I731" s="19"/>
      <c r="J731" s="19"/>
    </row>
    <row r="732" spans="2:10" ht="15.5">
      <c r="B732" s="19"/>
      <c r="C732" s="19"/>
      <c r="D732" s="19"/>
      <c r="E732" s="19"/>
      <c r="F732" s="19"/>
      <c r="G732" s="19"/>
      <c r="H732" s="19"/>
      <c r="I732" s="19"/>
      <c r="J732" s="19"/>
    </row>
    <row r="733" spans="2:10" ht="15.5">
      <c r="B733" s="19"/>
      <c r="C733" s="19"/>
      <c r="D733" s="19"/>
      <c r="E733" s="19"/>
      <c r="F733" s="19"/>
      <c r="G733" s="19"/>
      <c r="H733" s="19"/>
      <c r="I733" s="19"/>
      <c r="J733" s="19"/>
    </row>
    <row r="734" spans="2:10" ht="15.5">
      <c r="B734" s="19"/>
      <c r="C734" s="19"/>
      <c r="D734" s="19"/>
      <c r="E734" s="19"/>
      <c r="F734" s="19"/>
      <c r="G734" s="19"/>
      <c r="H734" s="19"/>
      <c r="I734" s="19"/>
      <c r="J734" s="19"/>
    </row>
    <row r="735" spans="2:10" ht="15.5">
      <c r="B735" s="19"/>
      <c r="C735" s="19"/>
      <c r="D735" s="19"/>
      <c r="E735" s="19"/>
      <c r="F735" s="19"/>
      <c r="G735" s="19"/>
      <c r="H735" s="19"/>
      <c r="I735" s="19"/>
      <c r="J735" s="19"/>
    </row>
    <row r="736" spans="2:10" ht="15.5">
      <c r="B736" s="19"/>
      <c r="C736" s="19"/>
      <c r="D736" s="19"/>
      <c r="E736" s="19"/>
      <c r="F736" s="19"/>
      <c r="G736" s="19"/>
      <c r="H736" s="19"/>
      <c r="I736" s="19"/>
      <c r="J736" s="19"/>
    </row>
    <row r="737" spans="2:10" ht="15.5">
      <c r="B737" s="19"/>
      <c r="C737" s="19"/>
      <c r="D737" s="19"/>
      <c r="E737" s="19"/>
      <c r="F737" s="19"/>
      <c r="G737" s="19"/>
      <c r="H737" s="19"/>
      <c r="I737" s="19"/>
      <c r="J737" s="19"/>
    </row>
    <row r="738" spans="2:10" ht="15.5">
      <c r="B738" s="19"/>
      <c r="C738" s="19"/>
      <c r="D738" s="19"/>
      <c r="E738" s="19"/>
      <c r="F738" s="19"/>
      <c r="G738" s="19"/>
      <c r="H738" s="19"/>
      <c r="I738" s="19"/>
      <c r="J738" s="19"/>
    </row>
    <row r="739" spans="2:10" ht="15.5">
      <c r="B739" s="19"/>
      <c r="C739" s="19"/>
      <c r="D739" s="19"/>
      <c r="E739" s="19"/>
      <c r="F739" s="19"/>
      <c r="G739" s="19"/>
      <c r="H739" s="19"/>
      <c r="I739" s="19"/>
      <c r="J739" s="19"/>
    </row>
    <row r="740" spans="2:10" ht="15.5">
      <c r="B740" s="19"/>
      <c r="C740" s="19"/>
      <c r="D740" s="19"/>
      <c r="E740" s="19"/>
      <c r="F740" s="19"/>
      <c r="G740" s="19"/>
      <c r="H740" s="19"/>
      <c r="I740" s="19"/>
      <c r="J740" s="19"/>
    </row>
    <row r="741" spans="2:10" ht="15.5">
      <c r="B741" s="19"/>
      <c r="C741" s="19"/>
      <c r="D741" s="19"/>
      <c r="E741" s="19"/>
      <c r="F741" s="19"/>
      <c r="G741" s="19"/>
      <c r="H741" s="19"/>
      <c r="I741" s="19"/>
      <c r="J741" s="19"/>
    </row>
    <row r="742" spans="2:10" ht="15.5">
      <c r="B742" s="19"/>
      <c r="C742" s="19"/>
      <c r="D742" s="19"/>
      <c r="E742" s="19"/>
      <c r="F742" s="19"/>
      <c r="G742" s="19"/>
      <c r="H742" s="19"/>
      <c r="I742" s="19"/>
      <c r="J742" s="19"/>
    </row>
    <row r="743" spans="2:10" ht="15.5">
      <c r="B743" s="19"/>
      <c r="C743" s="19"/>
      <c r="D743" s="19"/>
      <c r="E743" s="19"/>
      <c r="F743" s="19"/>
      <c r="G743" s="19"/>
      <c r="H743" s="19"/>
      <c r="I743" s="19"/>
      <c r="J743" s="19"/>
    </row>
    <row r="744" spans="2:10" ht="15.5">
      <c r="B744" s="19"/>
      <c r="C744" s="19"/>
      <c r="D744" s="19"/>
      <c r="E744" s="19"/>
      <c r="F744" s="19"/>
      <c r="G744" s="19"/>
      <c r="H744" s="19"/>
      <c r="I744" s="19"/>
      <c r="J744" s="19"/>
    </row>
    <row r="745" spans="2:10" ht="15.5">
      <c r="B745" s="19"/>
      <c r="C745" s="19"/>
      <c r="D745" s="19"/>
      <c r="E745" s="19"/>
      <c r="F745" s="19"/>
      <c r="G745" s="19"/>
      <c r="H745" s="19"/>
      <c r="I745" s="19"/>
      <c r="J745" s="19"/>
    </row>
    <row r="746" spans="2:10" ht="15.5">
      <c r="B746" s="19"/>
      <c r="C746" s="19"/>
      <c r="D746" s="19"/>
      <c r="E746" s="19"/>
      <c r="F746" s="19"/>
      <c r="G746" s="19"/>
      <c r="H746" s="19"/>
      <c r="I746" s="19"/>
      <c r="J746" s="19"/>
    </row>
    <row r="747" spans="2:10" ht="15.5">
      <c r="B747" s="19"/>
      <c r="C747" s="19"/>
      <c r="D747" s="19"/>
      <c r="E747" s="19"/>
      <c r="F747" s="19"/>
      <c r="G747" s="19"/>
      <c r="H747" s="19"/>
      <c r="I747" s="19"/>
      <c r="J747" s="19"/>
    </row>
    <row r="748" spans="2:10" ht="15.5">
      <c r="B748" s="19"/>
      <c r="C748" s="19"/>
      <c r="D748" s="19"/>
      <c r="E748" s="19"/>
      <c r="F748" s="19"/>
      <c r="G748" s="19"/>
      <c r="H748" s="19"/>
      <c r="I748" s="19"/>
      <c r="J748" s="19"/>
    </row>
    <row r="749" spans="2:10" ht="15.5">
      <c r="B749" s="19"/>
      <c r="C749" s="19"/>
      <c r="D749" s="19"/>
      <c r="E749" s="19"/>
      <c r="F749" s="19"/>
      <c r="G749" s="19"/>
      <c r="H749" s="19"/>
      <c r="I749" s="19"/>
      <c r="J749" s="19"/>
    </row>
    <row r="750" spans="2:10" ht="15.5">
      <c r="B750" s="19"/>
      <c r="C750" s="19"/>
      <c r="D750" s="19"/>
      <c r="E750" s="19"/>
      <c r="F750" s="19"/>
      <c r="G750" s="19"/>
      <c r="H750" s="19"/>
      <c r="I750" s="19"/>
      <c r="J750" s="19"/>
    </row>
    <row r="751" spans="2:10" ht="15.5">
      <c r="B751" s="19"/>
      <c r="C751" s="19"/>
      <c r="D751" s="19"/>
      <c r="E751" s="19"/>
      <c r="F751" s="19"/>
      <c r="G751" s="19"/>
      <c r="H751" s="19"/>
      <c r="I751" s="19"/>
      <c r="J751" s="19"/>
    </row>
    <row r="752" spans="2:10" ht="15.5">
      <c r="B752" s="19"/>
      <c r="C752" s="19"/>
      <c r="D752" s="19"/>
      <c r="E752" s="19"/>
      <c r="F752" s="19"/>
      <c r="G752" s="19"/>
      <c r="H752" s="19"/>
      <c r="I752" s="19"/>
      <c r="J752" s="19"/>
    </row>
    <row r="753" spans="2:10" ht="15.5">
      <c r="B753" s="19"/>
      <c r="C753" s="19"/>
      <c r="D753" s="19"/>
      <c r="E753" s="19"/>
      <c r="F753" s="19"/>
      <c r="G753" s="19"/>
      <c r="H753" s="19"/>
      <c r="I753" s="19"/>
      <c r="J753" s="19"/>
    </row>
    <row r="754" spans="2:10" ht="15.5">
      <c r="B754" s="19"/>
      <c r="C754" s="19"/>
      <c r="D754" s="19"/>
      <c r="E754" s="19"/>
      <c r="F754" s="19"/>
      <c r="G754" s="19"/>
      <c r="H754" s="19"/>
      <c r="I754" s="19"/>
      <c r="J754" s="19"/>
    </row>
    <row r="755" spans="2:10" ht="15.5">
      <c r="B755" s="19"/>
      <c r="C755" s="19"/>
      <c r="D755" s="19"/>
      <c r="E755" s="19"/>
      <c r="F755" s="19"/>
      <c r="G755" s="19"/>
      <c r="H755" s="19"/>
      <c r="I755" s="19"/>
      <c r="J755" s="19"/>
    </row>
    <row r="756" spans="2:10" ht="15.5">
      <c r="B756" s="19"/>
      <c r="C756" s="19"/>
      <c r="D756" s="19"/>
      <c r="E756" s="19"/>
      <c r="F756" s="19"/>
      <c r="G756" s="19"/>
      <c r="H756" s="19"/>
      <c r="I756" s="19"/>
      <c r="J756" s="19"/>
    </row>
    <row r="757" spans="2:10" ht="15.5">
      <c r="B757" s="19"/>
      <c r="C757" s="19"/>
      <c r="D757" s="19"/>
      <c r="E757" s="19"/>
      <c r="F757" s="19"/>
      <c r="G757" s="19"/>
      <c r="H757" s="19"/>
      <c r="I757" s="19"/>
      <c r="J757" s="19"/>
    </row>
    <row r="758" spans="2:10" ht="15.5">
      <c r="B758" s="19"/>
      <c r="C758" s="19"/>
      <c r="D758" s="19"/>
      <c r="E758" s="19"/>
      <c r="F758" s="19"/>
      <c r="G758" s="19"/>
      <c r="H758" s="19"/>
      <c r="I758" s="19"/>
      <c r="J758" s="19"/>
    </row>
    <row r="759" spans="2:10" ht="15.5">
      <c r="B759" s="19"/>
      <c r="C759" s="19"/>
      <c r="D759" s="19"/>
      <c r="E759" s="19"/>
      <c r="F759" s="19"/>
      <c r="G759" s="19"/>
      <c r="H759" s="19"/>
      <c r="I759" s="19"/>
      <c r="J759" s="19"/>
    </row>
    <row r="760" spans="2:10" ht="15.5">
      <c r="B760" s="19"/>
      <c r="C760" s="19"/>
      <c r="D760" s="19"/>
      <c r="E760" s="19"/>
      <c r="F760" s="19"/>
      <c r="G760" s="19"/>
      <c r="H760" s="19"/>
      <c r="I760" s="19"/>
      <c r="J760" s="19"/>
    </row>
    <row r="761" spans="2:10" ht="15.5">
      <c r="B761" s="19"/>
      <c r="C761" s="19"/>
      <c r="D761" s="19"/>
      <c r="E761" s="19"/>
      <c r="F761" s="19"/>
      <c r="G761" s="19"/>
      <c r="H761" s="19"/>
      <c r="I761" s="19"/>
      <c r="J761" s="19"/>
    </row>
    <row r="762" spans="2:10" ht="15.5">
      <c r="B762" s="19"/>
      <c r="C762" s="19"/>
      <c r="D762" s="19"/>
      <c r="E762" s="19"/>
      <c r="F762" s="19"/>
      <c r="G762" s="19"/>
      <c r="H762" s="19"/>
      <c r="I762" s="19"/>
      <c r="J762" s="19"/>
    </row>
    <row r="763" spans="2:10" ht="15.5">
      <c r="B763" s="19"/>
      <c r="C763" s="19"/>
      <c r="D763" s="19"/>
      <c r="E763" s="19"/>
      <c r="F763" s="19"/>
      <c r="G763" s="19"/>
      <c r="H763" s="19"/>
      <c r="I763" s="19"/>
      <c r="J763" s="19"/>
    </row>
    <row r="764" spans="2:10" ht="15.5">
      <c r="B764" s="19"/>
      <c r="C764" s="19"/>
      <c r="D764" s="19"/>
      <c r="E764" s="19"/>
      <c r="F764" s="19"/>
      <c r="G764" s="19"/>
      <c r="H764" s="19"/>
      <c r="I764" s="19"/>
      <c r="J764" s="19"/>
    </row>
    <row r="765" spans="2:10" ht="15.5">
      <c r="B765" s="19"/>
      <c r="C765" s="19"/>
      <c r="D765" s="19"/>
      <c r="E765" s="19"/>
      <c r="F765" s="19"/>
      <c r="G765" s="19"/>
      <c r="H765" s="19"/>
      <c r="I765" s="19"/>
      <c r="J765" s="19"/>
    </row>
    <row r="766" spans="2:10" ht="15.5">
      <c r="B766" s="19"/>
      <c r="C766" s="19"/>
      <c r="D766" s="19"/>
      <c r="E766" s="19"/>
      <c r="F766" s="19"/>
      <c r="G766" s="19"/>
      <c r="H766" s="19"/>
      <c r="I766" s="19"/>
      <c r="J766" s="19"/>
    </row>
    <row r="767" spans="2:10" ht="15.5">
      <c r="B767" s="19"/>
      <c r="C767" s="19"/>
      <c r="D767" s="19"/>
      <c r="E767" s="19"/>
      <c r="F767" s="19"/>
      <c r="G767" s="19"/>
      <c r="H767" s="19"/>
      <c r="I767" s="19"/>
      <c r="J767" s="19"/>
    </row>
    <row r="768" spans="2:10" ht="15.5">
      <c r="B768" s="19"/>
      <c r="C768" s="19"/>
      <c r="D768" s="19"/>
      <c r="E768" s="19"/>
      <c r="F768" s="19"/>
      <c r="G768" s="19"/>
      <c r="H768" s="19"/>
      <c r="I768" s="19"/>
      <c r="J768" s="19"/>
    </row>
    <row r="769" spans="2:10" ht="15.5">
      <c r="B769" s="19"/>
      <c r="C769" s="19"/>
      <c r="D769" s="19"/>
      <c r="E769" s="19"/>
      <c r="F769" s="19"/>
      <c r="G769" s="19"/>
      <c r="H769" s="19"/>
      <c r="I769" s="19"/>
      <c r="J769" s="19"/>
    </row>
    <row r="770" spans="2:10" ht="15.5">
      <c r="B770" s="19"/>
      <c r="C770" s="19"/>
      <c r="D770" s="19"/>
      <c r="E770" s="19"/>
      <c r="F770" s="19"/>
      <c r="G770" s="19"/>
      <c r="H770" s="19"/>
      <c r="I770" s="19"/>
      <c r="J770" s="19"/>
    </row>
    <row r="771" spans="2:10" ht="15.5">
      <c r="B771" s="19"/>
      <c r="C771" s="19"/>
      <c r="D771" s="19"/>
      <c r="E771" s="19"/>
      <c r="F771" s="19"/>
      <c r="G771" s="19"/>
      <c r="H771" s="19"/>
      <c r="I771" s="19"/>
      <c r="J771" s="19"/>
    </row>
    <row r="772" spans="2:10" ht="15.5">
      <c r="B772" s="19"/>
      <c r="C772" s="19"/>
      <c r="D772" s="19"/>
      <c r="E772" s="19"/>
      <c r="F772" s="19"/>
      <c r="G772" s="19"/>
      <c r="H772" s="19"/>
      <c r="I772" s="19"/>
      <c r="J772" s="19"/>
    </row>
    <row r="773" spans="2:10" ht="15.5">
      <c r="B773" s="19"/>
      <c r="C773" s="19"/>
      <c r="D773" s="19"/>
      <c r="E773" s="19"/>
      <c r="F773" s="19"/>
      <c r="G773" s="19"/>
      <c r="H773" s="19"/>
      <c r="I773" s="19"/>
      <c r="J773" s="19"/>
    </row>
    <row r="774" spans="2:10" ht="15.5">
      <c r="B774" s="19"/>
      <c r="C774" s="19"/>
      <c r="D774" s="19"/>
      <c r="E774" s="19"/>
      <c r="F774" s="19"/>
      <c r="G774" s="19"/>
      <c r="H774" s="19"/>
      <c r="I774" s="19"/>
      <c r="J774" s="19"/>
    </row>
    <row r="775" spans="2:10" ht="15.5">
      <c r="B775" s="19"/>
      <c r="C775" s="19"/>
      <c r="D775" s="19"/>
      <c r="E775" s="19"/>
      <c r="F775" s="19"/>
      <c r="G775" s="19"/>
      <c r="H775" s="19"/>
      <c r="I775" s="19"/>
      <c r="J775" s="19"/>
    </row>
    <row r="776" spans="2:10" ht="15.5">
      <c r="B776" s="19"/>
      <c r="C776" s="19"/>
      <c r="D776" s="19"/>
      <c r="E776" s="19"/>
      <c r="F776" s="19"/>
      <c r="G776" s="19"/>
      <c r="H776" s="19"/>
      <c r="I776" s="19"/>
      <c r="J776" s="19"/>
    </row>
    <row r="777" spans="2:10" ht="15.5">
      <c r="B777" s="19"/>
      <c r="C777" s="19"/>
      <c r="D777" s="19"/>
      <c r="E777" s="19"/>
      <c r="F777" s="19"/>
      <c r="G777" s="19"/>
      <c r="H777" s="19"/>
      <c r="I777" s="19"/>
      <c r="J777" s="19"/>
    </row>
    <row r="778" spans="2:10" ht="15.5">
      <c r="B778" s="19"/>
      <c r="C778" s="19"/>
      <c r="D778" s="19"/>
      <c r="E778" s="19"/>
      <c r="F778" s="19"/>
      <c r="G778" s="19"/>
      <c r="H778" s="19"/>
      <c r="I778" s="19"/>
      <c r="J778" s="19"/>
    </row>
    <row r="779" spans="2:10" ht="15.5">
      <c r="B779" s="19"/>
      <c r="C779" s="19"/>
      <c r="D779" s="19"/>
      <c r="E779" s="19"/>
      <c r="F779" s="19"/>
      <c r="G779" s="19"/>
      <c r="H779" s="19"/>
      <c r="I779" s="19"/>
      <c r="J779" s="19"/>
    </row>
    <row r="780" spans="2:10" ht="15.5">
      <c r="B780" s="19"/>
      <c r="C780" s="19"/>
      <c r="D780" s="19"/>
      <c r="E780" s="19"/>
      <c r="F780" s="19"/>
      <c r="G780" s="19"/>
      <c r="H780" s="19"/>
      <c r="I780" s="19"/>
      <c r="J780" s="19"/>
    </row>
    <row r="781" spans="2:10" ht="15.5">
      <c r="B781" s="19"/>
      <c r="C781" s="19"/>
      <c r="D781" s="19"/>
      <c r="E781" s="19"/>
      <c r="F781" s="19"/>
      <c r="G781" s="19"/>
      <c r="H781" s="19"/>
      <c r="I781" s="19"/>
      <c r="J781" s="19"/>
    </row>
    <row r="782" spans="2:10" ht="15.5">
      <c r="B782" s="19"/>
      <c r="C782" s="19"/>
      <c r="D782" s="19"/>
      <c r="E782" s="19"/>
      <c r="F782" s="19"/>
      <c r="G782" s="19"/>
      <c r="H782" s="19"/>
      <c r="I782" s="19"/>
      <c r="J782" s="19"/>
    </row>
    <row r="783" spans="2:10" ht="15.5">
      <c r="B783" s="19"/>
      <c r="C783" s="19"/>
      <c r="D783" s="19"/>
      <c r="E783" s="19"/>
      <c r="F783" s="19"/>
      <c r="G783" s="19"/>
      <c r="H783" s="19"/>
      <c r="I783" s="19"/>
      <c r="J783" s="19"/>
    </row>
    <row r="784" spans="2:10" ht="15.5">
      <c r="B784" s="19"/>
      <c r="C784" s="19"/>
      <c r="D784" s="19"/>
      <c r="E784" s="19"/>
      <c r="F784" s="19"/>
      <c r="G784" s="19"/>
      <c r="H784" s="19"/>
      <c r="I784" s="19"/>
      <c r="J784" s="19"/>
    </row>
    <row r="785" spans="2:10" ht="15.5">
      <c r="B785" s="19"/>
      <c r="C785" s="19"/>
      <c r="D785" s="19"/>
      <c r="E785" s="19"/>
      <c r="F785" s="19"/>
      <c r="G785" s="19"/>
      <c r="H785" s="19"/>
      <c r="I785" s="19"/>
      <c r="J785" s="19"/>
    </row>
    <row r="786" spans="2:10" ht="15.5">
      <c r="B786" s="19"/>
      <c r="C786" s="19"/>
      <c r="D786" s="19"/>
      <c r="E786" s="19"/>
      <c r="F786" s="19"/>
      <c r="G786" s="19"/>
      <c r="H786" s="19"/>
      <c r="I786" s="19"/>
      <c r="J786" s="19"/>
    </row>
    <row r="787" spans="2:10" ht="15.5">
      <c r="B787" s="19"/>
      <c r="C787" s="19"/>
      <c r="D787" s="19"/>
      <c r="E787" s="19"/>
      <c r="F787" s="19"/>
      <c r="G787" s="19"/>
      <c r="H787" s="19"/>
      <c r="I787" s="19"/>
      <c r="J787" s="19"/>
    </row>
    <row r="788" spans="2:10" ht="15.5">
      <c r="B788" s="19"/>
      <c r="C788" s="19"/>
      <c r="D788" s="19"/>
      <c r="E788" s="19"/>
      <c r="F788" s="19"/>
      <c r="G788" s="19"/>
      <c r="H788" s="19"/>
      <c r="I788" s="19"/>
      <c r="J788" s="19"/>
    </row>
    <row r="789" spans="2:10" ht="15.5">
      <c r="B789" s="19"/>
      <c r="C789" s="19"/>
      <c r="D789" s="19"/>
      <c r="E789" s="19"/>
      <c r="F789" s="19"/>
      <c r="G789" s="19"/>
      <c r="H789" s="19"/>
      <c r="I789" s="19"/>
      <c r="J789" s="19"/>
    </row>
    <row r="790" spans="2:10" ht="15.5">
      <c r="B790" s="19"/>
      <c r="C790" s="19"/>
      <c r="D790" s="19"/>
      <c r="E790" s="19"/>
      <c r="F790" s="19"/>
      <c r="G790" s="19"/>
      <c r="H790" s="19"/>
      <c r="I790" s="19"/>
      <c r="J790" s="19"/>
    </row>
    <row r="791" spans="2:10" ht="15.5">
      <c r="B791" s="19"/>
      <c r="C791" s="19"/>
      <c r="D791" s="19"/>
      <c r="E791" s="19"/>
      <c r="F791" s="19"/>
      <c r="G791" s="19"/>
      <c r="H791" s="19"/>
      <c r="I791" s="19"/>
      <c r="J791" s="19"/>
    </row>
    <row r="792" spans="2:10" ht="15.5">
      <c r="B792" s="19"/>
      <c r="C792" s="19"/>
      <c r="D792" s="19"/>
      <c r="E792" s="19"/>
      <c r="F792" s="19"/>
      <c r="G792" s="19"/>
      <c r="H792" s="19"/>
      <c r="I792" s="19"/>
      <c r="J792" s="19"/>
    </row>
    <row r="793" spans="2:10" ht="15.5">
      <c r="B793" s="19"/>
      <c r="C793" s="19"/>
      <c r="D793" s="19"/>
      <c r="E793" s="19"/>
      <c r="F793" s="19"/>
      <c r="G793" s="19"/>
      <c r="H793" s="19"/>
      <c r="I793" s="19"/>
      <c r="J793" s="19"/>
    </row>
    <row r="794" spans="2:10" ht="15.5">
      <c r="B794" s="19"/>
      <c r="C794" s="19"/>
      <c r="D794" s="19"/>
      <c r="E794" s="19"/>
      <c r="F794" s="19"/>
      <c r="G794" s="19"/>
      <c r="H794" s="19"/>
      <c r="I794" s="19"/>
      <c r="J794" s="19"/>
    </row>
    <row r="795" spans="2:10" ht="15.5">
      <c r="B795" s="19"/>
      <c r="C795" s="19"/>
      <c r="D795" s="19"/>
      <c r="E795" s="19"/>
      <c r="F795" s="19"/>
      <c r="G795" s="19"/>
      <c r="H795" s="19"/>
      <c r="I795" s="19"/>
      <c r="J795" s="19"/>
    </row>
    <row r="796" spans="2:10" ht="15.5">
      <c r="B796" s="19"/>
      <c r="C796" s="19"/>
      <c r="D796" s="19"/>
      <c r="E796" s="19"/>
      <c r="F796" s="19"/>
      <c r="G796" s="19"/>
      <c r="H796" s="19"/>
      <c r="I796" s="19"/>
      <c r="J796" s="19"/>
    </row>
    <row r="797" spans="2:10" ht="15.5">
      <c r="B797" s="19"/>
      <c r="C797" s="19"/>
      <c r="D797" s="19"/>
      <c r="E797" s="19"/>
      <c r="F797" s="19"/>
      <c r="G797" s="19"/>
      <c r="H797" s="19"/>
      <c r="I797" s="19"/>
      <c r="J797" s="19"/>
    </row>
    <row r="798" spans="2:10" ht="15.5">
      <c r="B798" s="19"/>
      <c r="C798" s="19"/>
      <c r="D798" s="19"/>
      <c r="E798" s="19"/>
      <c r="F798" s="19"/>
      <c r="G798" s="19"/>
      <c r="H798" s="19"/>
      <c r="I798" s="19"/>
      <c r="J798" s="19"/>
    </row>
    <row r="799" spans="2:10" ht="15.5">
      <c r="B799" s="19"/>
      <c r="C799" s="19"/>
      <c r="D799" s="19"/>
      <c r="E799" s="19"/>
      <c r="F799" s="19"/>
      <c r="G799" s="19"/>
      <c r="H799" s="19"/>
      <c r="I799" s="19"/>
      <c r="J799" s="19"/>
    </row>
    <row r="800" spans="2:10" ht="15.5">
      <c r="B800" s="19"/>
      <c r="C800" s="19"/>
      <c r="D800" s="19"/>
      <c r="E800" s="19"/>
      <c r="F800" s="19"/>
      <c r="G800" s="19"/>
      <c r="H800" s="19"/>
      <c r="I800" s="19"/>
      <c r="J800" s="19"/>
    </row>
    <row r="801" spans="2:10" ht="15.5">
      <c r="B801" s="19"/>
      <c r="C801" s="19"/>
      <c r="D801" s="19"/>
      <c r="E801" s="19"/>
      <c r="F801" s="19"/>
      <c r="G801" s="19"/>
      <c r="H801" s="19"/>
      <c r="I801" s="19"/>
      <c r="J801" s="19"/>
    </row>
    <row r="802" spans="2:10" ht="15.5">
      <c r="B802" s="19"/>
      <c r="C802" s="19"/>
      <c r="D802" s="19"/>
      <c r="E802" s="19"/>
      <c r="F802" s="19"/>
      <c r="G802" s="19"/>
      <c r="H802" s="19"/>
      <c r="I802" s="19"/>
      <c r="J802" s="19"/>
    </row>
    <row r="803" spans="2:10" ht="15.5">
      <c r="B803" s="19"/>
      <c r="C803" s="19"/>
      <c r="D803" s="19"/>
      <c r="E803" s="19"/>
      <c r="F803" s="19"/>
      <c r="G803" s="19"/>
      <c r="H803" s="19"/>
      <c r="I803" s="19"/>
      <c r="J803" s="19"/>
    </row>
    <row r="804" spans="2:10" ht="15.5">
      <c r="B804" s="19"/>
      <c r="C804" s="19"/>
      <c r="D804" s="19"/>
      <c r="E804" s="19"/>
      <c r="F804" s="19"/>
      <c r="G804" s="19"/>
      <c r="H804" s="19"/>
      <c r="I804" s="19"/>
      <c r="J804" s="19"/>
    </row>
    <row r="805" spans="2:10" ht="15.5">
      <c r="B805" s="19"/>
      <c r="C805" s="19"/>
      <c r="D805" s="19"/>
      <c r="E805" s="19"/>
      <c r="F805" s="19"/>
      <c r="G805" s="19"/>
      <c r="H805" s="19"/>
      <c r="I805" s="19"/>
      <c r="J805" s="19"/>
    </row>
    <row r="806" spans="2:10" ht="15.5">
      <c r="B806" s="19"/>
      <c r="C806" s="19"/>
      <c r="D806" s="19"/>
      <c r="E806" s="19"/>
      <c r="F806" s="19"/>
      <c r="G806" s="19"/>
      <c r="H806" s="19"/>
      <c r="I806" s="19"/>
      <c r="J806" s="19"/>
    </row>
    <row r="807" spans="2:10" ht="15.5">
      <c r="B807" s="19"/>
      <c r="C807" s="19"/>
      <c r="D807" s="19"/>
      <c r="E807" s="19"/>
      <c r="F807" s="19"/>
      <c r="G807" s="19"/>
      <c r="H807" s="19"/>
      <c r="I807" s="19"/>
      <c r="J807" s="19"/>
    </row>
    <row r="808" spans="2:10" ht="15.5">
      <c r="B808" s="19"/>
      <c r="C808" s="19"/>
      <c r="D808" s="19"/>
      <c r="E808" s="19"/>
      <c r="F808" s="19"/>
      <c r="G808" s="19"/>
      <c r="H808" s="19"/>
      <c r="I808" s="19"/>
      <c r="J808" s="19"/>
    </row>
    <row r="809" spans="2:10" ht="15.5">
      <c r="B809" s="19"/>
      <c r="C809" s="19"/>
      <c r="D809" s="19"/>
      <c r="E809" s="19"/>
      <c r="F809" s="19"/>
      <c r="G809" s="19"/>
      <c r="H809" s="19"/>
      <c r="I809" s="19"/>
      <c r="J809" s="19"/>
    </row>
    <row r="810" spans="2:10" ht="15.5">
      <c r="B810" s="19"/>
      <c r="C810" s="19"/>
      <c r="D810" s="19"/>
      <c r="E810" s="19"/>
      <c r="F810" s="19"/>
      <c r="G810" s="19"/>
      <c r="H810" s="19"/>
      <c r="I810" s="19"/>
      <c r="J810" s="19"/>
    </row>
    <row r="811" spans="2:10" ht="15.5">
      <c r="B811" s="19"/>
      <c r="C811" s="19"/>
      <c r="D811" s="19"/>
      <c r="E811" s="19"/>
      <c r="F811" s="19"/>
      <c r="G811" s="19"/>
      <c r="H811" s="19"/>
      <c r="I811" s="19"/>
      <c r="J811" s="19"/>
    </row>
    <row r="812" spans="2:10" ht="15.5">
      <c r="B812" s="19"/>
      <c r="C812" s="19"/>
      <c r="D812" s="19"/>
      <c r="E812" s="19"/>
      <c r="F812" s="19"/>
      <c r="G812" s="19"/>
      <c r="H812" s="19"/>
      <c r="I812" s="19"/>
      <c r="J812" s="19"/>
    </row>
    <row r="813" spans="2:10" ht="15.5">
      <c r="B813" s="19"/>
      <c r="C813" s="19"/>
      <c r="D813" s="19"/>
      <c r="E813" s="19"/>
      <c r="F813" s="19"/>
      <c r="G813" s="19"/>
      <c r="H813" s="19"/>
      <c r="I813" s="19"/>
      <c r="J813" s="19"/>
    </row>
    <row r="814" spans="2:10" ht="15.5">
      <c r="B814" s="19"/>
      <c r="C814" s="19"/>
      <c r="D814" s="19"/>
      <c r="E814" s="19"/>
      <c r="F814" s="19"/>
      <c r="G814" s="19"/>
      <c r="H814" s="19"/>
      <c r="I814" s="19"/>
      <c r="J814" s="19"/>
    </row>
    <row r="815" spans="2:10" ht="15.5">
      <c r="B815" s="19"/>
      <c r="C815" s="19"/>
      <c r="D815" s="19"/>
      <c r="E815" s="19"/>
      <c r="F815" s="19"/>
      <c r="G815" s="19"/>
      <c r="H815" s="19"/>
      <c r="I815" s="19"/>
      <c r="J815" s="19"/>
    </row>
    <row r="816" spans="2:10" ht="15.5">
      <c r="B816" s="19"/>
      <c r="C816" s="19"/>
      <c r="D816" s="19"/>
      <c r="E816" s="19"/>
      <c r="F816" s="19"/>
      <c r="G816" s="19"/>
      <c r="H816" s="19"/>
      <c r="I816" s="19"/>
      <c r="J816" s="19"/>
    </row>
    <row r="817" spans="2:10" ht="15.5">
      <c r="B817" s="19"/>
      <c r="C817" s="19"/>
      <c r="D817" s="19"/>
      <c r="E817" s="19"/>
      <c r="F817" s="19"/>
      <c r="G817" s="19"/>
      <c r="H817" s="19"/>
      <c r="I817" s="19"/>
      <c r="J817" s="19"/>
    </row>
    <row r="818" spans="2:10" ht="15.5">
      <c r="B818" s="19"/>
      <c r="C818" s="19"/>
      <c r="D818" s="19"/>
      <c r="E818" s="19"/>
      <c r="F818" s="19"/>
      <c r="G818" s="19"/>
      <c r="H818" s="19"/>
      <c r="I818" s="19"/>
      <c r="J818" s="19"/>
    </row>
    <row r="819" spans="2:10" ht="15.5">
      <c r="B819" s="19"/>
      <c r="C819" s="19"/>
      <c r="D819" s="19"/>
      <c r="E819" s="19"/>
      <c r="F819" s="19"/>
      <c r="G819" s="19"/>
      <c r="H819" s="19"/>
      <c r="I819" s="19"/>
      <c r="J819" s="19"/>
    </row>
    <row r="820" spans="2:10" ht="15.5">
      <c r="B820" s="19"/>
      <c r="C820" s="19"/>
      <c r="D820" s="19"/>
      <c r="E820" s="19"/>
      <c r="F820" s="19"/>
      <c r="G820" s="19"/>
      <c r="H820" s="19"/>
      <c r="I820" s="19"/>
      <c r="J820" s="19"/>
    </row>
    <row r="821" spans="2:10" ht="15.5">
      <c r="B821" s="19"/>
      <c r="C821" s="19"/>
      <c r="D821" s="19"/>
      <c r="E821" s="19"/>
      <c r="F821" s="19"/>
      <c r="G821" s="19"/>
      <c r="H821" s="19"/>
      <c r="I821" s="19"/>
      <c r="J821" s="19"/>
    </row>
    <row r="822" spans="2:10" ht="15.5">
      <c r="B822" s="19"/>
      <c r="C822" s="19"/>
      <c r="D822" s="19"/>
      <c r="E822" s="19"/>
      <c r="F822" s="19"/>
      <c r="G822" s="19"/>
      <c r="H822" s="19"/>
      <c r="I822" s="19"/>
      <c r="J822" s="19"/>
    </row>
    <row r="823" spans="2:10" ht="15.5">
      <c r="B823" s="19"/>
      <c r="C823" s="19"/>
      <c r="D823" s="19"/>
      <c r="E823" s="19"/>
      <c r="F823" s="19"/>
      <c r="G823" s="19"/>
      <c r="H823" s="19"/>
      <c r="I823" s="19"/>
      <c r="J823" s="19"/>
    </row>
    <row r="824" spans="2:10" ht="15.5">
      <c r="B824" s="19"/>
      <c r="C824" s="19"/>
      <c r="D824" s="19"/>
      <c r="E824" s="19"/>
      <c r="F824" s="19"/>
      <c r="G824" s="19"/>
      <c r="H824" s="19"/>
      <c r="I824" s="19"/>
      <c r="J824" s="19"/>
    </row>
    <row r="825" spans="2:10" ht="15.5">
      <c r="B825" s="19"/>
      <c r="C825" s="19"/>
      <c r="D825" s="19"/>
      <c r="E825" s="19"/>
      <c r="F825" s="19"/>
      <c r="G825" s="19"/>
      <c r="H825" s="19"/>
      <c r="I825" s="19"/>
      <c r="J825" s="19"/>
    </row>
    <row r="826" spans="2:10" ht="15.5">
      <c r="B826" s="19"/>
      <c r="C826" s="19"/>
      <c r="D826" s="19"/>
      <c r="E826" s="19"/>
      <c r="F826" s="19"/>
      <c r="G826" s="19"/>
      <c r="H826" s="19"/>
      <c r="I826" s="19"/>
      <c r="J826" s="19"/>
    </row>
    <row r="827" spans="2:10" ht="15.5">
      <c r="B827" s="19"/>
      <c r="C827" s="19"/>
      <c r="D827" s="19"/>
      <c r="E827" s="19"/>
      <c r="F827" s="19"/>
      <c r="G827" s="19"/>
      <c r="H827" s="19"/>
      <c r="I827" s="19"/>
      <c r="J827" s="19"/>
    </row>
    <row r="828" spans="2:10" ht="15.5">
      <c r="B828" s="19"/>
      <c r="C828" s="19"/>
      <c r="D828" s="19"/>
      <c r="E828" s="19"/>
      <c r="F828" s="19"/>
      <c r="G828" s="19"/>
      <c r="H828" s="19"/>
      <c r="I828" s="19"/>
      <c r="J828" s="19"/>
    </row>
    <row r="829" spans="2:10" ht="15.5">
      <c r="B829" s="19"/>
      <c r="C829" s="19"/>
      <c r="D829" s="19"/>
      <c r="E829" s="19"/>
      <c r="F829" s="19"/>
      <c r="G829" s="19"/>
      <c r="H829" s="19"/>
      <c r="I829" s="19"/>
      <c r="J829" s="19"/>
    </row>
    <row r="830" spans="2:10" ht="15.5">
      <c r="B830" s="19"/>
      <c r="C830" s="19"/>
      <c r="D830" s="19"/>
      <c r="E830" s="19"/>
      <c r="F830" s="19"/>
      <c r="G830" s="19"/>
      <c r="H830" s="19"/>
      <c r="I830" s="19"/>
      <c r="J830" s="19"/>
    </row>
    <row r="831" spans="2:10" ht="15.5">
      <c r="B831" s="19"/>
      <c r="C831" s="19"/>
      <c r="D831" s="19"/>
      <c r="E831" s="19"/>
      <c r="F831" s="19"/>
      <c r="G831" s="19"/>
      <c r="H831" s="19"/>
      <c r="I831" s="19"/>
      <c r="J831" s="19"/>
    </row>
    <row r="832" spans="2:10" ht="15.5">
      <c r="B832" s="19"/>
      <c r="C832" s="19"/>
      <c r="D832" s="19"/>
      <c r="E832" s="19"/>
      <c r="F832" s="19"/>
      <c r="G832" s="19"/>
      <c r="H832" s="19"/>
      <c r="I832" s="19"/>
      <c r="J832" s="19"/>
    </row>
    <row r="833" spans="2:10" ht="15.5">
      <c r="B833" s="19"/>
      <c r="C833" s="19"/>
      <c r="D833" s="19"/>
      <c r="E833" s="19"/>
      <c r="F833" s="19"/>
      <c r="G833" s="19"/>
      <c r="H833" s="19"/>
      <c r="I833" s="19"/>
      <c r="J833" s="19"/>
    </row>
    <row r="834" spans="2:10" ht="15.5">
      <c r="B834" s="19"/>
      <c r="C834" s="19"/>
      <c r="D834" s="19"/>
      <c r="E834" s="19"/>
      <c r="F834" s="19"/>
      <c r="G834" s="19"/>
      <c r="H834" s="19"/>
      <c r="I834" s="19"/>
      <c r="J834" s="19"/>
    </row>
    <row r="835" spans="2:10" ht="15.5">
      <c r="B835" s="19"/>
      <c r="C835" s="19"/>
      <c r="D835" s="19"/>
      <c r="E835" s="19"/>
      <c r="F835" s="19"/>
      <c r="G835" s="19"/>
      <c r="H835" s="19"/>
      <c r="I835" s="19"/>
      <c r="J835" s="19"/>
    </row>
    <row r="836" spans="2:10" ht="15.5">
      <c r="B836" s="19"/>
      <c r="C836" s="19"/>
      <c r="D836" s="19"/>
      <c r="E836" s="19"/>
      <c r="F836" s="19"/>
      <c r="G836" s="19"/>
      <c r="H836" s="19"/>
      <c r="I836" s="19"/>
      <c r="J836" s="19"/>
    </row>
    <row r="837" spans="2:10" ht="15.5">
      <c r="B837" s="19"/>
      <c r="C837" s="19"/>
      <c r="D837" s="19"/>
      <c r="E837" s="19"/>
      <c r="F837" s="19"/>
      <c r="G837" s="19"/>
      <c r="H837" s="19"/>
      <c r="I837" s="19"/>
      <c r="J837" s="19"/>
    </row>
    <row r="838" spans="2:10" ht="15.5">
      <c r="B838" s="19"/>
      <c r="C838" s="19"/>
      <c r="D838" s="19"/>
      <c r="E838" s="19"/>
      <c r="F838" s="19"/>
      <c r="G838" s="19"/>
      <c r="H838" s="19"/>
      <c r="I838" s="19"/>
      <c r="J838" s="19"/>
    </row>
    <row r="839" spans="2:10" ht="15.5">
      <c r="B839" s="19"/>
      <c r="C839" s="19"/>
      <c r="D839" s="19"/>
      <c r="E839" s="19"/>
      <c r="F839" s="19"/>
      <c r="G839" s="19"/>
      <c r="H839" s="19"/>
      <c r="I839" s="19"/>
      <c r="J839" s="19"/>
    </row>
    <row r="840" spans="2:10" ht="15.5">
      <c r="B840" s="19"/>
      <c r="C840" s="19"/>
      <c r="D840" s="19"/>
      <c r="E840" s="19"/>
      <c r="F840" s="19"/>
      <c r="G840" s="19"/>
      <c r="H840" s="19"/>
      <c r="I840" s="19"/>
      <c r="J840" s="19"/>
    </row>
    <row r="841" spans="2:10" ht="15.5">
      <c r="B841" s="19"/>
      <c r="C841" s="19"/>
      <c r="D841" s="19"/>
      <c r="E841" s="19"/>
      <c r="F841" s="19"/>
      <c r="G841" s="19"/>
      <c r="H841" s="19"/>
      <c r="I841" s="19"/>
      <c r="J841" s="19"/>
    </row>
    <row r="842" spans="2:10" ht="15.5">
      <c r="B842" s="19"/>
      <c r="C842" s="19"/>
      <c r="D842" s="19"/>
      <c r="E842" s="19"/>
      <c r="F842" s="19"/>
      <c r="G842" s="19"/>
      <c r="H842" s="19"/>
      <c r="I842" s="19"/>
      <c r="J842" s="19"/>
    </row>
    <row r="843" spans="2:10" ht="15.5">
      <c r="B843" s="19"/>
      <c r="C843" s="19"/>
      <c r="D843" s="19"/>
      <c r="E843" s="19"/>
      <c r="F843" s="19"/>
      <c r="G843" s="19"/>
      <c r="H843" s="19"/>
      <c r="I843" s="19"/>
      <c r="J843" s="19"/>
    </row>
    <row r="844" spans="2:10" ht="15.5">
      <c r="B844" s="19"/>
      <c r="C844" s="19"/>
      <c r="D844" s="19"/>
      <c r="E844" s="19"/>
      <c r="F844" s="19"/>
      <c r="G844" s="19"/>
      <c r="H844" s="19"/>
      <c r="I844" s="19"/>
      <c r="J844" s="19"/>
    </row>
    <row r="845" spans="2:10" ht="15.5">
      <c r="B845" s="19"/>
      <c r="C845" s="19"/>
      <c r="D845" s="19"/>
      <c r="E845" s="19"/>
      <c r="F845" s="19"/>
      <c r="G845" s="19"/>
      <c r="H845" s="19"/>
      <c r="I845" s="19"/>
      <c r="J845" s="19"/>
    </row>
    <row r="846" spans="2:10" ht="15.5">
      <c r="B846" s="19"/>
      <c r="C846" s="19"/>
      <c r="D846" s="19"/>
      <c r="E846" s="19"/>
      <c r="F846" s="19"/>
      <c r="G846" s="19"/>
      <c r="H846" s="19"/>
      <c r="I846" s="19"/>
      <c r="J846" s="19"/>
    </row>
    <row r="847" spans="2:10" ht="15.5">
      <c r="B847" s="19"/>
      <c r="C847" s="19"/>
      <c r="D847" s="19"/>
      <c r="E847" s="19"/>
      <c r="F847" s="19"/>
      <c r="G847" s="19"/>
      <c r="H847" s="19"/>
      <c r="I847" s="19"/>
      <c r="J847" s="19"/>
    </row>
    <row r="848" spans="2:10" ht="15.5">
      <c r="B848" s="19"/>
      <c r="C848" s="19"/>
      <c r="D848" s="19"/>
      <c r="E848" s="19"/>
      <c r="F848" s="19"/>
      <c r="G848" s="19"/>
      <c r="H848" s="19"/>
      <c r="I848" s="19"/>
      <c r="J848" s="19"/>
    </row>
    <row r="849" spans="2:10" ht="15.5">
      <c r="B849" s="19"/>
      <c r="C849" s="19"/>
      <c r="D849" s="19"/>
      <c r="E849" s="19"/>
      <c r="F849" s="19"/>
      <c r="G849" s="19"/>
      <c r="H849" s="19"/>
      <c r="I849" s="19"/>
      <c r="J849" s="19"/>
    </row>
    <row r="850" spans="2:10" ht="15.5">
      <c r="B850" s="19"/>
      <c r="C850" s="19"/>
      <c r="D850" s="19"/>
      <c r="E850" s="19"/>
      <c r="F850" s="19"/>
      <c r="G850" s="19"/>
      <c r="H850" s="19"/>
      <c r="I850" s="19"/>
      <c r="J850" s="19"/>
    </row>
    <row r="851" spans="2:10" ht="15.5">
      <c r="B851" s="19"/>
      <c r="C851" s="19"/>
      <c r="D851" s="19"/>
      <c r="E851" s="19"/>
      <c r="F851" s="19"/>
      <c r="G851" s="19"/>
      <c r="H851" s="19"/>
      <c r="I851" s="19"/>
      <c r="J851" s="19"/>
    </row>
    <row r="852" spans="2:10" ht="15.5">
      <c r="B852" s="19"/>
      <c r="C852" s="19"/>
      <c r="D852" s="19"/>
      <c r="E852" s="19"/>
      <c r="F852" s="19"/>
      <c r="G852" s="19"/>
      <c r="H852" s="19"/>
      <c r="I852" s="19"/>
      <c r="J852" s="19"/>
    </row>
    <row r="853" spans="2:10" ht="15.5">
      <c r="B853" s="19"/>
      <c r="C853" s="19"/>
      <c r="D853" s="19"/>
      <c r="E853" s="19"/>
      <c r="F853" s="19"/>
      <c r="G853" s="19"/>
      <c r="H853" s="19"/>
      <c r="I853" s="19"/>
      <c r="J853" s="19"/>
    </row>
    <row r="854" spans="2:10" ht="15.5">
      <c r="B854" s="19"/>
      <c r="C854" s="19"/>
      <c r="D854" s="19"/>
      <c r="E854" s="19"/>
      <c r="F854" s="19"/>
      <c r="G854" s="19"/>
      <c r="H854" s="19"/>
      <c r="I854" s="19"/>
      <c r="J854" s="19"/>
    </row>
    <row r="855" spans="2:10" ht="15.5">
      <c r="B855" s="19"/>
      <c r="C855" s="19"/>
      <c r="D855" s="19"/>
      <c r="E855" s="19"/>
      <c r="F855" s="19"/>
      <c r="G855" s="19"/>
      <c r="H855" s="19"/>
      <c r="I855" s="19"/>
      <c r="J855" s="19"/>
    </row>
    <row r="856" spans="2:10" ht="15.5">
      <c r="B856" s="19"/>
      <c r="C856" s="19"/>
      <c r="D856" s="19"/>
      <c r="E856" s="19"/>
      <c r="F856" s="19"/>
      <c r="G856" s="19"/>
      <c r="H856" s="19"/>
      <c r="I856" s="19"/>
      <c r="J856" s="19"/>
    </row>
    <row r="857" spans="2:10" ht="15.5">
      <c r="B857" s="19"/>
      <c r="C857" s="19"/>
      <c r="D857" s="19"/>
      <c r="E857" s="19"/>
      <c r="F857" s="19"/>
      <c r="G857" s="19"/>
      <c r="H857" s="19"/>
      <c r="I857" s="19"/>
      <c r="J857" s="19"/>
    </row>
    <row r="858" spans="2:10" ht="15.5">
      <c r="B858" s="19"/>
      <c r="C858" s="19"/>
      <c r="D858" s="19"/>
      <c r="E858" s="19"/>
      <c r="F858" s="19"/>
      <c r="G858" s="19"/>
      <c r="H858" s="19"/>
      <c r="I858" s="19"/>
      <c r="J858" s="19"/>
    </row>
    <row r="859" spans="2:10" ht="15.5">
      <c r="B859" s="19"/>
      <c r="C859" s="19"/>
      <c r="D859" s="19"/>
      <c r="E859" s="19"/>
      <c r="F859" s="19"/>
      <c r="G859" s="19"/>
      <c r="H859" s="19"/>
      <c r="I859" s="19"/>
      <c r="J859" s="19"/>
    </row>
    <row r="860" spans="2:10" ht="15.5">
      <c r="B860" s="19"/>
      <c r="C860" s="19"/>
      <c r="D860" s="19"/>
      <c r="E860" s="19"/>
      <c r="F860" s="19"/>
      <c r="G860" s="19"/>
      <c r="H860" s="19"/>
      <c r="I860" s="19"/>
      <c r="J860" s="19"/>
    </row>
    <row r="861" spans="2:10" ht="15.5">
      <c r="B861" s="19"/>
      <c r="C861" s="19"/>
      <c r="D861" s="19"/>
      <c r="E861" s="19"/>
      <c r="F861" s="19"/>
      <c r="G861" s="19"/>
      <c r="H861" s="19"/>
      <c r="I861" s="19"/>
      <c r="J861" s="19"/>
    </row>
    <row r="862" spans="2:10" ht="15.5">
      <c r="B862" s="19"/>
      <c r="C862" s="19"/>
      <c r="D862" s="19"/>
      <c r="E862" s="19"/>
      <c r="F862" s="19"/>
      <c r="G862" s="19"/>
      <c r="H862" s="19"/>
      <c r="I862" s="19"/>
      <c r="J862" s="19"/>
    </row>
    <row r="863" spans="2:10" ht="15.5">
      <c r="B863" s="19"/>
      <c r="C863" s="19"/>
      <c r="D863" s="19"/>
      <c r="E863" s="19"/>
      <c r="F863" s="19"/>
      <c r="G863" s="19"/>
      <c r="H863" s="19"/>
      <c r="I863" s="19"/>
      <c r="J863" s="19"/>
    </row>
    <row r="864" spans="2:10" ht="15.5">
      <c r="B864" s="19"/>
      <c r="C864" s="19"/>
      <c r="D864" s="19"/>
      <c r="E864" s="19"/>
      <c r="F864" s="19"/>
      <c r="G864" s="19"/>
      <c r="H864" s="19"/>
      <c r="I864" s="19"/>
      <c r="J864" s="19"/>
    </row>
    <row r="865" spans="2:10" ht="15.5">
      <c r="B865" s="19"/>
      <c r="C865" s="19"/>
      <c r="D865" s="19"/>
      <c r="E865" s="19"/>
      <c r="F865" s="19"/>
      <c r="G865" s="19"/>
      <c r="H865" s="19"/>
      <c r="I865" s="19"/>
      <c r="J865" s="19"/>
    </row>
    <row r="866" spans="2:10" ht="15.5">
      <c r="B866" s="19"/>
      <c r="C866" s="19"/>
      <c r="D866" s="19"/>
      <c r="E866" s="19"/>
      <c r="F866" s="19"/>
      <c r="G866" s="19"/>
      <c r="H866" s="19"/>
      <c r="I866" s="19"/>
      <c r="J866" s="19"/>
    </row>
    <row r="867" spans="2:10" ht="15.5">
      <c r="B867" s="19"/>
      <c r="C867" s="19"/>
      <c r="D867" s="19"/>
      <c r="E867" s="19"/>
      <c r="F867" s="19"/>
      <c r="G867" s="19"/>
      <c r="H867" s="19"/>
      <c r="I867" s="19"/>
      <c r="J867" s="19"/>
    </row>
    <row r="868" spans="2:10" ht="15.5">
      <c r="B868" s="19"/>
      <c r="C868" s="19"/>
      <c r="D868" s="19"/>
      <c r="E868" s="19"/>
      <c r="F868" s="19"/>
      <c r="G868" s="19"/>
      <c r="H868" s="19"/>
      <c r="I868" s="19"/>
      <c r="J868" s="19"/>
    </row>
    <row r="869" spans="2:10" ht="15.5">
      <c r="B869" s="19"/>
      <c r="C869" s="19"/>
      <c r="D869" s="19"/>
      <c r="E869" s="19"/>
      <c r="F869" s="19"/>
      <c r="G869" s="19"/>
      <c r="H869" s="19"/>
      <c r="I869" s="19"/>
      <c r="J869" s="19"/>
    </row>
    <row r="870" spans="2:10" ht="15.5">
      <c r="B870" s="19"/>
      <c r="C870" s="19"/>
      <c r="D870" s="19"/>
      <c r="E870" s="19"/>
      <c r="F870" s="19"/>
      <c r="G870" s="19"/>
      <c r="H870" s="19"/>
      <c r="I870" s="19"/>
      <c r="J870" s="19"/>
    </row>
    <row r="871" spans="2:10" ht="15.5">
      <c r="B871" s="19"/>
      <c r="C871" s="19"/>
      <c r="D871" s="19"/>
      <c r="E871" s="19"/>
      <c r="F871" s="19"/>
      <c r="G871" s="19"/>
      <c r="H871" s="19"/>
      <c r="I871" s="19"/>
      <c r="J871" s="19"/>
    </row>
    <row r="872" spans="2:10" ht="15.5">
      <c r="B872" s="19"/>
      <c r="C872" s="19"/>
      <c r="D872" s="19"/>
      <c r="E872" s="19"/>
      <c r="F872" s="19"/>
      <c r="G872" s="19"/>
      <c r="H872" s="19"/>
      <c r="I872" s="19"/>
      <c r="J872" s="19"/>
    </row>
    <row r="873" spans="2:10" ht="15.5">
      <c r="B873" s="19"/>
      <c r="C873" s="19"/>
      <c r="D873" s="19"/>
      <c r="E873" s="19"/>
      <c r="F873" s="19"/>
      <c r="G873" s="19"/>
      <c r="H873" s="19"/>
      <c r="I873" s="19"/>
      <c r="J873" s="19"/>
    </row>
    <row r="874" spans="2:10" ht="15.5">
      <c r="B874" s="19"/>
      <c r="C874" s="19"/>
      <c r="D874" s="19"/>
      <c r="E874" s="19"/>
      <c r="F874" s="19"/>
      <c r="G874" s="19"/>
      <c r="H874" s="19"/>
      <c r="I874" s="19"/>
      <c r="J874" s="19"/>
    </row>
    <row r="875" spans="2:10" ht="15.5">
      <c r="B875" s="19"/>
      <c r="C875" s="19"/>
      <c r="D875" s="19"/>
      <c r="E875" s="19"/>
      <c r="F875" s="19"/>
      <c r="G875" s="19"/>
      <c r="H875" s="19"/>
      <c r="I875" s="19"/>
      <c r="J875" s="19"/>
    </row>
    <row r="876" spans="2:10" ht="15.5">
      <c r="B876" s="19"/>
      <c r="C876" s="19"/>
      <c r="D876" s="19"/>
      <c r="E876" s="19"/>
      <c r="F876" s="19"/>
      <c r="G876" s="19"/>
      <c r="H876" s="19"/>
      <c r="I876" s="19"/>
      <c r="J876" s="19"/>
    </row>
    <row r="877" spans="2:10" ht="15.5">
      <c r="B877" s="19"/>
      <c r="C877" s="19"/>
      <c r="D877" s="19"/>
      <c r="E877" s="19"/>
      <c r="F877" s="19"/>
      <c r="G877" s="19"/>
      <c r="H877" s="19"/>
      <c r="I877" s="19"/>
      <c r="J877" s="19"/>
    </row>
    <row r="878" spans="2:10" ht="15.5">
      <c r="B878" s="19"/>
      <c r="C878" s="19"/>
      <c r="D878" s="19"/>
      <c r="E878" s="19"/>
      <c r="F878" s="19"/>
      <c r="G878" s="19"/>
      <c r="H878" s="19"/>
      <c r="I878" s="19"/>
      <c r="J878" s="19"/>
    </row>
    <row r="879" spans="2:10" ht="15.5">
      <c r="B879" s="19"/>
      <c r="C879" s="19"/>
      <c r="D879" s="19"/>
      <c r="E879" s="19"/>
      <c r="F879" s="19"/>
      <c r="G879" s="19"/>
      <c r="H879" s="19"/>
      <c r="I879" s="19"/>
      <c r="J879" s="19"/>
    </row>
    <row r="880" spans="2:10" ht="15.5">
      <c r="B880" s="19"/>
      <c r="C880" s="19"/>
      <c r="D880" s="19"/>
      <c r="E880" s="19"/>
      <c r="F880" s="19"/>
      <c r="G880" s="19"/>
      <c r="H880" s="19"/>
      <c r="I880" s="19"/>
      <c r="J880" s="19"/>
    </row>
    <row r="881" spans="2:10" ht="15.5">
      <c r="B881" s="19"/>
      <c r="C881" s="19"/>
      <c r="D881" s="19"/>
      <c r="E881" s="19"/>
      <c r="F881" s="19"/>
      <c r="G881" s="19"/>
      <c r="H881" s="19"/>
      <c r="I881" s="19"/>
      <c r="J881" s="19"/>
    </row>
    <row r="882" spans="2:10" ht="15.5">
      <c r="B882" s="19"/>
      <c r="C882" s="19"/>
      <c r="D882" s="19"/>
      <c r="E882" s="19"/>
      <c r="F882" s="19"/>
      <c r="G882" s="19"/>
      <c r="H882" s="19"/>
      <c r="I882" s="19"/>
      <c r="J882" s="19"/>
    </row>
    <row r="883" spans="2:10" ht="15.5">
      <c r="B883" s="19"/>
      <c r="C883" s="19"/>
      <c r="D883" s="19"/>
      <c r="E883" s="19"/>
      <c r="F883" s="19"/>
      <c r="G883" s="19"/>
      <c r="H883" s="19"/>
      <c r="I883" s="19"/>
      <c r="J883" s="19"/>
    </row>
    <row r="884" spans="2:10" ht="15.5">
      <c r="B884" s="19"/>
      <c r="C884" s="19"/>
      <c r="D884" s="19"/>
      <c r="E884" s="19"/>
      <c r="F884" s="19"/>
      <c r="G884" s="19"/>
      <c r="H884" s="19"/>
      <c r="I884" s="19"/>
      <c r="J884" s="19"/>
    </row>
    <row r="885" spans="2:10" ht="15.5">
      <c r="B885" s="19"/>
      <c r="C885" s="19"/>
      <c r="D885" s="19"/>
      <c r="E885" s="19"/>
      <c r="F885" s="19"/>
      <c r="G885" s="19"/>
      <c r="H885" s="19"/>
      <c r="I885" s="19"/>
      <c r="J885" s="19"/>
    </row>
    <row r="886" spans="2:10" ht="15.5">
      <c r="B886" s="19"/>
      <c r="C886" s="19"/>
      <c r="D886" s="19"/>
      <c r="E886" s="19"/>
      <c r="F886" s="19"/>
      <c r="G886" s="19"/>
      <c r="H886" s="19"/>
      <c r="I886" s="19"/>
      <c r="J886" s="19"/>
    </row>
    <row r="887" spans="2:10" ht="15.5">
      <c r="B887" s="19"/>
      <c r="C887" s="19"/>
      <c r="D887" s="19"/>
      <c r="E887" s="19"/>
      <c r="F887" s="19"/>
      <c r="G887" s="19"/>
      <c r="H887" s="19"/>
      <c r="I887" s="19"/>
      <c r="J887" s="19"/>
    </row>
    <row r="888" spans="2:10" ht="15.5">
      <c r="B888" s="19"/>
      <c r="C888" s="19"/>
      <c r="D888" s="19"/>
      <c r="E888" s="19"/>
      <c r="F888" s="19"/>
      <c r="G888" s="19"/>
      <c r="H888" s="19"/>
      <c r="I888" s="19"/>
      <c r="J888" s="19"/>
    </row>
    <row r="889" spans="2:10" ht="15.5">
      <c r="B889" s="19"/>
      <c r="C889" s="19"/>
      <c r="D889" s="19"/>
      <c r="E889" s="19"/>
      <c r="F889" s="19"/>
      <c r="G889" s="19"/>
      <c r="H889" s="19"/>
      <c r="I889" s="19"/>
      <c r="J889" s="19"/>
    </row>
    <row r="890" spans="2:10" ht="15.5">
      <c r="B890" s="19"/>
      <c r="C890" s="19"/>
      <c r="D890" s="19"/>
      <c r="E890" s="19"/>
      <c r="F890" s="19"/>
      <c r="G890" s="19"/>
      <c r="H890" s="19"/>
      <c r="I890" s="19"/>
      <c r="J890" s="19"/>
    </row>
    <row r="891" spans="2:10" ht="15.5">
      <c r="B891" s="19"/>
      <c r="C891" s="19"/>
      <c r="D891" s="19"/>
      <c r="E891" s="19"/>
      <c r="F891" s="19"/>
      <c r="G891" s="19"/>
      <c r="H891" s="19"/>
      <c r="I891" s="19"/>
      <c r="J891" s="19"/>
    </row>
    <row r="892" spans="2:10" ht="15.5">
      <c r="B892" s="19"/>
      <c r="C892" s="19"/>
      <c r="D892" s="19"/>
      <c r="E892" s="19"/>
      <c r="F892" s="19"/>
      <c r="G892" s="19"/>
      <c r="H892" s="19"/>
      <c r="I892" s="19"/>
      <c r="J892" s="19"/>
    </row>
    <row r="893" spans="2:10" ht="15.5">
      <c r="B893" s="19"/>
      <c r="C893" s="19"/>
      <c r="D893" s="19"/>
      <c r="E893" s="19"/>
      <c r="F893" s="19"/>
      <c r="G893" s="19"/>
      <c r="H893" s="19"/>
      <c r="I893" s="19"/>
      <c r="J893" s="19"/>
    </row>
    <row r="894" spans="2:10" ht="15.5">
      <c r="B894" s="19"/>
      <c r="C894" s="19"/>
      <c r="D894" s="19"/>
      <c r="E894" s="19"/>
      <c r="F894" s="19"/>
      <c r="G894" s="19"/>
      <c r="H894" s="19"/>
      <c r="I894" s="19"/>
      <c r="J894" s="19"/>
    </row>
    <row r="895" spans="2:10" ht="15.5">
      <c r="B895" s="19"/>
      <c r="C895" s="19"/>
      <c r="D895" s="19"/>
      <c r="E895" s="19"/>
      <c r="F895" s="19"/>
      <c r="G895" s="19"/>
      <c r="H895" s="19"/>
      <c r="I895" s="19"/>
      <c r="J895" s="19"/>
    </row>
    <row r="896" spans="2:10" ht="15.5">
      <c r="B896" s="19"/>
      <c r="C896" s="19"/>
      <c r="D896" s="19"/>
      <c r="E896" s="19"/>
      <c r="F896" s="19"/>
      <c r="G896" s="19"/>
      <c r="H896" s="19"/>
      <c r="I896" s="19"/>
      <c r="J896" s="19"/>
    </row>
    <row r="897" spans="2:10" ht="15.5">
      <c r="B897" s="19"/>
      <c r="C897" s="19"/>
      <c r="D897" s="19"/>
      <c r="E897" s="19"/>
      <c r="F897" s="19"/>
      <c r="G897" s="19"/>
      <c r="H897" s="19"/>
      <c r="I897" s="19"/>
      <c r="J897" s="19"/>
    </row>
    <row r="898" spans="2:10" ht="15.5">
      <c r="B898" s="19"/>
      <c r="C898" s="19"/>
      <c r="D898" s="19"/>
      <c r="E898" s="19"/>
      <c r="F898" s="19"/>
      <c r="G898" s="19"/>
      <c r="H898" s="19"/>
      <c r="I898" s="19"/>
      <c r="J898" s="19"/>
    </row>
    <row r="899" spans="2:10" ht="15.5">
      <c r="B899" s="19"/>
      <c r="C899" s="19"/>
      <c r="D899" s="19"/>
      <c r="E899" s="19"/>
      <c r="F899" s="19"/>
      <c r="G899" s="19"/>
      <c r="H899" s="19"/>
      <c r="I899" s="19"/>
      <c r="J899" s="19"/>
    </row>
    <row r="900" spans="2:10" ht="15.5">
      <c r="B900" s="19"/>
      <c r="C900" s="19"/>
      <c r="D900" s="19"/>
      <c r="E900" s="19"/>
      <c r="F900" s="19"/>
      <c r="G900" s="19"/>
      <c r="H900" s="19"/>
      <c r="I900" s="19"/>
      <c r="J900" s="19"/>
    </row>
    <row r="901" spans="2:10" ht="15.5">
      <c r="B901" s="19"/>
      <c r="C901" s="19"/>
      <c r="D901" s="19"/>
      <c r="E901" s="19"/>
      <c r="F901" s="19"/>
      <c r="G901" s="19"/>
      <c r="H901" s="19"/>
      <c r="I901" s="19"/>
      <c r="J901" s="19"/>
    </row>
    <row r="902" spans="2:10" ht="15.5">
      <c r="B902" s="19"/>
      <c r="C902" s="19"/>
      <c r="D902" s="19"/>
      <c r="E902" s="19"/>
      <c r="F902" s="19"/>
      <c r="G902" s="19"/>
      <c r="H902" s="19"/>
      <c r="I902" s="19"/>
      <c r="J902" s="19"/>
    </row>
    <row r="903" spans="2:10" ht="15.5">
      <c r="B903" s="19"/>
      <c r="C903" s="19"/>
      <c r="D903" s="19"/>
      <c r="E903" s="19"/>
      <c r="F903" s="19"/>
      <c r="G903" s="19"/>
      <c r="H903" s="19"/>
      <c r="I903" s="19"/>
      <c r="J903" s="19"/>
    </row>
    <row r="904" spans="2:10" ht="15.5">
      <c r="B904" s="19"/>
      <c r="C904" s="19"/>
      <c r="D904" s="19"/>
      <c r="E904" s="19"/>
      <c r="F904" s="19"/>
      <c r="G904" s="19"/>
      <c r="H904" s="19"/>
      <c r="I904" s="19"/>
      <c r="J904" s="19"/>
    </row>
    <row r="905" spans="2:10" ht="15.5">
      <c r="B905" s="19"/>
      <c r="C905" s="19"/>
      <c r="D905" s="19"/>
      <c r="E905" s="19"/>
      <c r="F905" s="19"/>
      <c r="G905" s="19"/>
      <c r="H905" s="19"/>
      <c r="I905" s="19"/>
      <c r="J905" s="19"/>
    </row>
    <row r="906" spans="2:10" ht="15.5">
      <c r="B906" s="19"/>
      <c r="C906" s="19"/>
      <c r="D906" s="19"/>
      <c r="E906" s="19"/>
      <c r="F906" s="19"/>
      <c r="G906" s="19"/>
      <c r="H906" s="19"/>
      <c r="I906" s="19"/>
      <c r="J906" s="19"/>
    </row>
    <row r="907" spans="2:10" ht="15.5">
      <c r="B907" s="19"/>
      <c r="C907" s="19"/>
      <c r="D907" s="19"/>
      <c r="E907" s="19"/>
      <c r="F907" s="19"/>
      <c r="G907" s="19"/>
      <c r="H907" s="19"/>
      <c r="I907" s="19"/>
      <c r="J907" s="19"/>
    </row>
    <row r="908" spans="2:10" ht="15.5">
      <c r="B908" s="19"/>
      <c r="C908" s="19"/>
      <c r="D908" s="19"/>
      <c r="E908" s="19"/>
      <c r="F908" s="19"/>
      <c r="G908" s="19"/>
      <c r="H908" s="19"/>
      <c r="I908" s="19"/>
      <c r="J908" s="19"/>
    </row>
    <row r="909" spans="2:10" ht="15.5">
      <c r="B909" s="19"/>
      <c r="C909" s="19"/>
      <c r="D909" s="19"/>
      <c r="E909" s="19"/>
      <c r="F909" s="19"/>
      <c r="G909" s="19"/>
      <c r="H909" s="19"/>
      <c r="I909" s="19"/>
      <c r="J909" s="19"/>
    </row>
    <row r="910" spans="2:10" ht="15.5">
      <c r="B910" s="19"/>
      <c r="C910" s="19"/>
      <c r="D910" s="19"/>
      <c r="E910" s="19"/>
      <c r="F910" s="19"/>
      <c r="G910" s="19"/>
      <c r="H910" s="19"/>
      <c r="I910" s="19"/>
      <c r="J910" s="19"/>
    </row>
    <row r="911" spans="2:10" ht="15.5">
      <c r="B911" s="19"/>
      <c r="C911" s="19"/>
      <c r="D911" s="19"/>
      <c r="E911" s="19"/>
      <c r="F911" s="19"/>
      <c r="G911" s="19"/>
      <c r="H911" s="19"/>
      <c r="I911" s="19"/>
      <c r="J911" s="19"/>
    </row>
    <row r="912" spans="2:10" ht="15.5">
      <c r="B912" s="19"/>
      <c r="C912" s="19"/>
      <c r="D912" s="19"/>
      <c r="E912" s="19"/>
      <c r="F912" s="19"/>
      <c r="G912" s="19"/>
      <c r="H912" s="19"/>
      <c r="I912" s="19"/>
      <c r="J912" s="19"/>
    </row>
    <row r="913" spans="2:10" ht="15.5">
      <c r="B913" s="19"/>
      <c r="C913" s="19"/>
      <c r="D913" s="19"/>
      <c r="E913" s="19"/>
      <c r="F913" s="19"/>
      <c r="G913" s="19"/>
      <c r="H913" s="19"/>
      <c r="I913" s="19"/>
      <c r="J913" s="19"/>
    </row>
    <row r="914" spans="2:10" ht="15.5">
      <c r="B914" s="19"/>
      <c r="C914" s="19"/>
      <c r="D914" s="19"/>
      <c r="E914" s="19"/>
      <c r="F914" s="19"/>
      <c r="G914" s="19"/>
      <c r="H914" s="19"/>
      <c r="I914" s="19"/>
      <c r="J914" s="19"/>
    </row>
    <row r="915" spans="2:10" ht="15.5">
      <c r="B915" s="19"/>
      <c r="C915" s="19"/>
      <c r="D915" s="19"/>
      <c r="E915" s="19"/>
      <c r="F915" s="19"/>
      <c r="G915" s="19"/>
      <c r="H915" s="19"/>
      <c r="I915" s="19"/>
      <c r="J915" s="19"/>
    </row>
    <row r="916" spans="2:10" ht="15.5">
      <c r="B916" s="19"/>
      <c r="C916" s="19"/>
      <c r="D916" s="19"/>
      <c r="E916" s="19"/>
      <c r="F916" s="19"/>
      <c r="G916" s="19"/>
      <c r="H916" s="19"/>
      <c r="I916" s="19"/>
      <c r="J916" s="19"/>
    </row>
    <row r="917" spans="2:10" ht="15.5">
      <c r="B917" s="19"/>
      <c r="C917" s="19"/>
      <c r="D917" s="19"/>
      <c r="E917" s="19"/>
      <c r="F917" s="19"/>
      <c r="G917" s="19"/>
      <c r="H917" s="19"/>
      <c r="I917" s="19"/>
      <c r="J917" s="19"/>
    </row>
    <row r="918" spans="2:10" ht="15.5">
      <c r="B918" s="19"/>
      <c r="C918" s="19"/>
      <c r="D918" s="19"/>
      <c r="E918" s="19"/>
      <c r="F918" s="19"/>
      <c r="G918" s="19"/>
      <c r="H918" s="19"/>
      <c r="I918" s="19"/>
      <c r="J918" s="19"/>
    </row>
    <row r="919" spans="2:10" ht="15.5">
      <c r="B919" s="19"/>
      <c r="C919" s="19"/>
      <c r="D919" s="19"/>
      <c r="E919" s="19"/>
      <c r="F919" s="19"/>
      <c r="G919" s="19"/>
      <c r="H919" s="19"/>
      <c r="I919" s="19"/>
      <c r="J919" s="19"/>
    </row>
    <row r="920" spans="2:10" ht="15.5">
      <c r="B920" s="19"/>
      <c r="C920" s="19"/>
      <c r="D920" s="19"/>
      <c r="E920" s="19"/>
      <c r="F920" s="19"/>
      <c r="G920" s="19"/>
      <c r="H920" s="19"/>
      <c r="I920" s="19"/>
      <c r="J920" s="19"/>
    </row>
    <row r="921" spans="2:10" ht="15.5">
      <c r="B921" s="19"/>
      <c r="C921" s="19"/>
      <c r="D921" s="19"/>
      <c r="E921" s="19"/>
      <c r="F921" s="19"/>
      <c r="G921" s="19"/>
      <c r="H921" s="19"/>
      <c r="I921" s="19"/>
      <c r="J921" s="19"/>
    </row>
    <row r="922" spans="2:10" ht="15.5">
      <c r="B922" s="19"/>
      <c r="C922" s="19"/>
      <c r="D922" s="19"/>
      <c r="E922" s="19"/>
      <c r="F922" s="19"/>
      <c r="G922" s="19"/>
      <c r="H922" s="19"/>
      <c r="I922" s="19"/>
      <c r="J922" s="19"/>
    </row>
    <row r="923" spans="2:10" ht="15.5">
      <c r="B923" s="19"/>
      <c r="C923" s="19"/>
      <c r="D923" s="19"/>
      <c r="E923" s="19"/>
      <c r="F923" s="19"/>
      <c r="G923" s="19"/>
      <c r="H923" s="19"/>
      <c r="I923" s="19"/>
      <c r="J923" s="19"/>
    </row>
    <row r="924" spans="2:10" ht="15.5">
      <c r="B924" s="19"/>
      <c r="C924" s="19"/>
      <c r="D924" s="19"/>
      <c r="E924" s="19"/>
      <c r="F924" s="19"/>
      <c r="G924" s="19"/>
      <c r="H924" s="19"/>
      <c r="I924" s="19"/>
      <c r="J924" s="19"/>
    </row>
    <row r="925" spans="2:10" ht="15.5">
      <c r="B925" s="19"/>
      <c r="C925" s="19"/>
      <c r="D925" s="19"/>
      <c r="E925" s="19"/>
      <c r="F925" s="19"/>
      <c r="G925" s="19"/>
      <c r="H925" s="19"/>
      <c r="I925" s="19"/>
      <c r="J925" s="19"/>
    </row>
    <row r="926" spans="2:10" ht="15.5">
      <c r="B926" s="19"/>
      <c r="C926" s="19"/>
      <c r="D926" s="19"/>
      <c r="E926" s="19"/>
      <c r="F926" s="19"/>
      <c r="G926" s="19"/>
      <c r="H926" s="19"/>
      <c r="I926" s="19"/>
      <c r="J926" s="19"/>
    </row>
    <row r="927" spans="2:10" ht="15.5">
      <c r="B927" s="19"/>
      <c r="C927" s="19"/>
      <c r="D927" s="19"/>
      <c r="E927" s="19"/>
      <c r="F927" s="19"/>
      <c r="G927" s="19"/>
      <c r="H927" s="19"/>
      <c r="I927" s="19"/>
      <c r="J927" s="19"/>
    </row>
    <row r="928" spans="2:10" ht="15.5">
      <c r="B928" s="19"/>
      <c r="C928" s="19"/>
      <c r="D928" s="19"/>
      <c r="E928" s="19"/>
      <c r="F928" s="19"/>
      <c r="G928" s="19"/>
      <c r="H928" s="19"/>
      <c r="I928" s="19"/>
      <c r="J928" s="19"/>
    </row>
    <row r="929" spans="2:10" ht="15.5">
      <c r="B929" s="19"/>
      <c r="C929" s="19"/>
      <c r="D929" s="19"/>
      <c r="E929" s="19"/>
      <c r="F929" s="19"/>
      <c r="G929" s="19"/>
      <c r="H929" s="19"/>
      <c r="I929" s="19"/>
      <c r="J929" s="19"/>
    </row>
    <row r="930" spans="2:10" ht="15.5">
      <c r="B930" s="19"/>
      <c r="C930" s="19"/>
      <c r="D930" s="19"/>
      <c r="E930" s="19"/>
      <c r="F930" s="19"/>
      <c r="G930" s="19"/>
      <c r="H930" s="19"/>
      <c r="I930" s="19"/>
      <c r="J930" s="19"/>
    </row>
    <row r="931" spans="2:10" ht="15.5">
      <c r="B931" s="19"/>
      <c r="C931" s="19"/>
      <c r="D931" s="19"/>
      <c r="E931" s="19"/>
      <c r="F931" s="19"/>
      <c r="G931" s="19"/>
      <c r="H931" s="19"/>
      <c r="I931" s="19"/>
      <c r="J931" s="19"/>
    </row>
    <row r="932" spans="2:10" ht="15.5">
      <c r="B932" s="19"/>
      <c r="C932" s="19"/>
      <c r="D932" s="19"/>
      <c r="E932" s="19"/>
      <c r="F932" s="19"/>
      <c r="G932" s="19"/>
      <c r="H932" s="19"/>
      <c r="I932" s="19"/>
      <c r="J932" s="19"/>
    </row>
    <row r="933" spans="2:10" ht="15.5">
      <c r="B933" s="19"/>
      <c r="C933" s="19"/>
      <c r="D933" s="19"/>
      <c r="E933" s="19"/>
      <c r="F933" s="19"/>
      <c r="G933" s="19"/>
      <c r="H933" s="19"/>
      <c r="I933" s="19"/>
      <c r="J933" s="19"/>
    </row>
    <row r="934" spans="2:10" ht="15.5">
      <c r="B934" s="19"/>
      <c r="C934" s="19"/>
      <c r="D934" s="19"/>
      <c r="E934" s="19"/>
      <c r="F934" s="19"/>
      <c r="G934" s="19"/>
      <c r="H934" s="19"/>
      <c r="I934" s="19"/>
      <c r="J934" s="19"/>
    </row>
    <row r="935" spans="2:10" ht="15.5">
      <c r="B935" s="19"/>
      <c r="C935" s="19"/>
      <c r="D935" s="19"/>
      <c r="E935" s="19"/>
      <c r="F935" s="19"/>
      <c r="G935" s="19"/>
      <c r="H935" s="19"/>
      <c r="I935" s="19"/>
      <c r="J935" s="19"/>
    </row>
    <row r="936" spans="2:10" ht="15.5">
      <c r="B936" s="19"/>
      <c r="C936" s="19"/>
      <c r="D936" s="19"/>
      <c r="E936" s="19"/>
      <c r="F936" s="19"/>
      <c r="G936" s="19"/>
      <c r="H936" s="19"/>
      <c r="I936" s="19"/>
      <c r="J936" s="19"/>
    </row>
    <row r="937" spans="2:10" ht="15.5">
      <c r="B937" s="19"/>
      <c r="C937" s="19"/>
      <c r="D937" s="19"/>
      <c r="E937" s="19"/>
      <c r="F937" s="19"/>
      <c r="G937" s="19"/>
      <c r="H937" s="19"/>
      <c r="I937" s="19"/>
      <c r="J937" s="19"/>
    </row>
    <row r="938" spans="2:10" ht="15.5">
      <c r="B938" s="19"/>
      <c r="C938" s="19"/>
      <c r="D938" s="19"/>
      <c r="E938" s="19"/>
      <c r="F938" s="19"/>
      <c r="G938" s="19"/>
      <c r="H938" s="19"/>
      <c r="I938" s="19"/>
      <c r="J938" s="19"/>
    </row>
    <row r="939" spans="2:10" ht="15.5">
      <c r="B939" s="19"/>
      <c r="C939" s="19"/>
      <c r="D939" s="19"/>
      <c r="E939" s="19"/>
      <c r="F939" s="19"/>
      <c r="G939" s="19"/>
      <c r="H939" s="19"/>
      <c r="I939" s="19"/>
      <c r="J939" s="19"/>
    </row>
    <row r="940" spans="2:10" ht="15.5">
      <c r="B940" s="19"/>
      <c r="C940" s="19"/>
      <c r="D940" s="19"/>
      <c r="E940" s="19"/>
      <c r="F940" s="19"/>
      <c r="G940" s="19"/>
      <c r="H940" s="19"/>
      <c r="I940" s="19"/>
      <c r="J940" s="19"/>
    </row>
    <row r="941" spans="2:10" ht="15.5">
      <c r="B941" s="19"/>
      <c r="C941" s="19"/>
      <c r="D941" s="19"/>
      <c r="E941" s="19"/>
      <c r="F941" s="19"/>
      <c r="G941" s="19"/>
      <c r="H941" s="19"/>
      <c r="I941" s="19"/>
      <c r="J941" s="19"/>
    </row>
    <row r="942" spans="2:10" ht="15.5">
      <c r="B942" s="19"/>
      <c r="C942" s="19"/>
      <c r="D942" s="19"/>
      <c r="E942" s="19"/>
      <c r="F942" s="19"/>
      <c r="G942" s="19"/>
      <c r="H942" s="19"/>
      <c r="I942" s="19"/>
      <c r="J942" s="19"/>
    </row>
    <row r="943" spans="2:10" ht="15.5">
      <c r="B943" s="19"/>
      <c r="C943" s="19"/>
      <c r="D943" s="19"/>
      <c r="E943" s="19"/>
      <c r="F943" s="19"/>
      <c r="G943" s="19"/>
      <c r="H943" s="19"/>
      <c r="I943" s="19"/>
      <c r="J943" s="19"/>
    </row>
    <row r="944" spans="2:10" ht="15.5">
      <c r="B944" s="19"/>
      <c r="C944" s="19"/>
      <c r="D944" s="19"/>
      <c r="E944" s="19"/>
      <c r="F944" s="19"/>
      <c r="G944" s="19"/>
      <c r="H944" s="19"/>
      <c r="I944" s="19"/>
      <c r="J944" s="19"/>
    </row>
    <row r="945" spans="2:10" ht="15.5">
      <c r="B945" s="19"/>
      <c r="C945" s="19"/>
      <c r="D945" s="19"/>
      <c r="E945" s="19"/>
      <c r="F945" s="19"/>
      <c r="G945" s="19"/>
      <c r="H945" s="19"/>
      <c r="I945" s="19"/>
      <c r="J945" s="19"/>
    </row>
    <row r="946" spans="2:10" ht="15.5">
      <c r="B946" s="19"/>
      <c r="C946" s="19"/>
      <c r="D946" s="19"/>
      <c r="E946" s="19"/>
      <c r="F946" s="19"/>
      <c r="G946" s="19"/>
      <c r="H946" s="19"/>
      <c r="I946" s="19"/>
      <c r="J946" s="19"/>
    </row>
  </sheetData>
  <mergeCells count="11">
    <mergeCell ref="G153:H153"/>
    <mergeCell ref="B123:C123"/>
    <mergeCell ref="B124:C124"/>
    <mergeCell ref="B125:C125"/>
    <mergeCell ref="B126:C126"/>
    <mergeCell ref="M128:T128"/>
    <mergeCell ref="G7:H7"/>
    <mergeCell ref="I7:J7"/>
    <mergeCell ref="I8:J8"/>
    <mergeCell ref="L107:M107"/>
    <mergeCell ref="L108:M108"/>
  </mergeCells>
  <pageMargins left="0.25" right="0.25" top="0.75" bottom="0.75" header="0.3" footer="0.3"/>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68"/>
  <sheetViews>
    <sheetView topLeftCell="A212" workbookViewId="0">
      <selection activeCell="P407" sqref="P407"/>
    </sheetView>
  </sheetViews>
  <sheetFormatPr defaultColWidth="9.1796875" defaultRowHeight="12.5"/>
  <cols>
    <col min="1" max="1" width="1.7265625" customWidth="1"/>
    <col min="2" max="2" width="32.1796875" customWidth="1"/>
    <col min="3" max="3" width="1.7265625" style="340" customWidth="1"/>
    <col min="4" max="4" width="16.26953125" customWidth="1"/>
    <col min="5" max="5" width="1.54296875" style="335" customWidth="1"/>
    <col min="6" max="6" width="17.26953125" customWidth="1"/>
    <col min="7" max="7" width="1.453125" style="335" customWidth="1"/>
    <col min="8" max="8" width="18.26953125" customWidth="1"/>
    <col min="9" max="9" width="1.26953125" style="335" customWidth="1"/>
    <col min="10" max="10" width="20.1796875" customWidth="1"/>
    <col min="11" max="11" width="1.1796875" style="335" customWidth="1"/>
    <col min="12" max="12" width="19.54296875" customWidth="1"/>
    <col min="13" max="13" width="3.54296875" customWidth="1"/>
    <col min="14" max="14" width="20" customWidth="1"/>
    <col min="15" max="15" width="2" customWidth="1"/>
    <col min="16" max="16" width="18.81640625" customWidth="1"/>
    <col min="18" max="18" width="11" customWidth="1"/>
  </cols>
  <sheetData>
    <row r="1" spans="1:20" ht="9" customHeight="1">
      <c r="A1" s="341"/>
      <c r="B1" s="341"/>
      <c r="C1" s="342"/>
      <c r="D1" s="341"/>
      <c r="E1" s="343"/>
      <c r="F1" s="341"/>
      <c r="G1" s="343"/>
      <c r="H1" s="341"/>
      <c r="I1" s="343"/>
      <c r="J1" s="341"/>
      <c r="K1" s="343"/>
      <c r="L1" s="341"/>
    </row>
    <row r="2" spans="1:20" ht="9" customHeight="1">
      <c r="A2" s="344"/>
      <c r="B2" s="345"/>
      <c r="C2" s="346"/>
      <c r="D2" s="345"/>
      <c r="E2" s="347"/>
      <c r="F2" s="345"/>
      <c r="G2" s="347"/>
      <c r="H2" s="345"/>
      <c r="I2" s="347"/>
      <c r="J2" s="345"/>
      <c r="K2" s="347"/>
      <c r="L2" s="392"/>
    </row>
    <row r="3" spans="1:20" ht="17.5">
      <c r="A3" s="348"/>
      <c r="B3" s="341"/>
      <c r="C3" s="342"/>
      <c r="D3" s="349" t="s">
        <v>166</v>
      </c>
      <c r="E3" s="350"/>
      <c r="F3" s="351"/>
      <c r="G3" s="351"/>
      <c r="H3" s="352"/>
      <c r="I3" s="343"/>
      <c r="J3" s="341"/>
      <c r="K3" s="343"/>
      <c r="L3" s="393"/>
    </row>
    <row r="4" spans="1:20" ht="7.5" customHeight="1">
      <c r="A4" s="348"/>
      <c r="B4" s="341"/>
      <c r="C4" s="342"/>
      <c r="D4" s="341"/>
      <c r="E4" s="343"/>
      <c r="F4" s="341"/>
      <c r="G4" s="343"/>
      <c r="H4" s="341"/>
      <c r="I4" s="343"/>
      <c r="J4" s="341"/>
      <c r="K4" s="343"/>
      <c r="L4" s="393"/>
      <c r="N4" t="s">
        <v>167</v>
      </c>
    </row>
    <row r="5" spans="1:20" ht="18">
      <c r="A5" s="348"/>
      <c r="B5" s="353"/>
      <c r="C5" s="354"/>
      <c r="D5" s="355"/>
      <c r="E5" s="356"/>
      <c r="F5" s="357"/>
      <c r="G5" s="343"/>
      <c r="H5" s="358"/>
      <c r="I5" s="394"/>
      <c r="J5" s="394"/>
      <c r="K5" s="394"/>
      <c r="L5" s="395"/>
      <c r="N5">
        <v>5</v>
      </c>
      <c r="O5" s="396"/>
      <c r="P5" s="397"/>
      <c r="Q5" s="397"/>
      <c r="R5" s="21"/>
      <c r="S5" s="21"/>
      <c r="T5" s="19"/>
    </row>
    <row r="6" spans="1:20" ht="17.5">
      <c r="A6" s="348"/>
      <c r="B6" s="359" t="s">
        <v>168</v>
      </c>
      <c r="C6" s="359"/>
      <c r="D6" s="359"/>
      <c r="E6" s="359"/>
      <c r="F6" s="359"/>
      <c r="G6" s="359"/>
      <c r="H6" s="360" t="str">
        <f>'DATA INPUT '!C2</f>
        <v xml:space="preserve">M/S.SHAS DESIGN AND PRINTING </v>
      </c>
      <c r="I6" s="360"/>
      <c r="J6" s="369"/>
      <c r="K6" s="369"/>
      <c r="L6" s="398"/>
      <c r="N6" s="399" t="s">
        <v>169</v>
      </c>
      <c r="O6" s="400"/>
      <c r="P6" s="401"/>
      <c r="Q6" s="481"/>
      <c r="R6" s="21"/>
      <c r="S6" s="21"/>
      <c r="T6" s="19"/>
    </row>
    <row r="7" spans="1:20" ht="17.5">
      <c r="A7" s="348"/>
      <c r="B7" s="361"/>
      <c r="C7" s="362"/>
      <c r="D7" s="363"/>
      <c r="E7" s="363"/>
      <c r="F7" s="364"/>
      <c r="G7" s="359"/>
      <c r="H7" s="365" t="str">
        <f>'DATA INPUT '!C3</f>
        <v>NEAR POST OFFICE, NILESHWAR</v>
      </c>
      <c r="I7" s="402"/>
      <c r="J7" s="402"/>
      <c r="K7" s="402"/>
      <c r="L7" s="403"/>
      <c r="N7" s="404">
        <v>8</v>
      </c>
      <c r="O7" s="397"/>
      <c r="P7" s="405"/>
      <c r="Q7" s="481"/>
      <c r="R7" s="21"/>
      <c r="S7" s="21"/>
      <c r="T7" s="19"/>
    </row>
    <row r="8" spans="1:20" ht="17.5">
      <c r="A8" s="348"/>
      <c r="B8" s="359" t="s">
        <v>170</v>
      </c>
      <c r="C8" s="366"/>
      <c r="D8" s="359"/>
      <c r="E8" s="359"/>
      <c r="F8" s="359"/>
      <c r="G8" s="359"/>
      <c r="H8" s="367" t="str">
        <f>'DATA INPUT '!C4</f>
        <v>W-III/1022</v>
      </c>
      <c r="I8" s="367"/>
      <c r="J8" s="367"/>
      <c r="K8" s="367"/>
      <c r="L8" s="406"/>
      <c r="M8" s="19"/>
      <c r="N8" s="407">
        <v>15</v>
      </c>
      <c r="O8" s="408">
        <f ca="1">MONTH(B847)</f>
        <v>8</v>
      </c>
      <c r="P8" s="405" t="s">
        <v>171</v>
      </c>
      <c r="Q8" s="481"/>
      <c r="R8" s="21"/>
      <c r="S8" s="21"/>
      <c r="T8" s="19"/>
    </row>
    <row r="9" spans="1:20" ht="17.5">
      <c r="A9" s="348"/>
      <c r="B9" s="361"/>
      <c r="C9" s="362"/>
      <c r="D9" s="363"/>
      <c r="E9" s="363"/>
      <c r="F9" s="364"/>
      <c r="G9" s="359"/>
      <c r="H9" s="368"/>
      <c r="I9" s="402"/>
      <c r="J9" s="402"/>
      <c r="K9" s="402"/>
      <c r="L9" s="403"/>
      <c r="N9" s="409"/>
      <c r="O9" s="410">
        <f ca="1">N8-O8</f>
        <v>7</v>
      </c>
      <c r="P9" s="405"/>
      <c r="Q9" s="425"/>
      <c r="R9" s="19" t="str">
        <f>IF(O12="MALE",("his"),("her"))</f>
        <v>his</v>
      </c>
      <c r="S9" s="21"/>
      <c r="T9" s="19"/>
    </row>
    <row r="10" spans="1:20" ht="17.5">
      <c r="A10" s="348"/>
      <c r="B10" s="359" t="s">
        <v>172</v>
      </c>
      <c r="C10" s="366"/>
      <c r="D10" s="359"/>
      <c r="E10" s="359"/>
      <c r="F10" s="359"/>
      <c r="G10" s="359"/>
      <c r="H10" s="369" t="str">
        <f>'DATA INPUT '!C8</f>
        <v>NILESHWAR</v>
      </c>
      <c r="I10" s="369"/>
      <c r="J10" s="360"/>
      <c r="K10" s="360"/>
      <c r="L10" s="411"/>
      <c r="N10" s="266" t="s">
        <v>173</v>
      </c>
      <c r="O10" s="412"/>
      <c r="P10" s="413"/>
      <c r="Q10" s="425"/>
      <c r="S10" s="21"/>
      <c r="T10" s="19"/>
    </row>
    <row r="11" spans="1:20" ht="17.5">
      <c r="A11" s="348"/>
      <c r="B11" s="361" t="s">
        <v>174</v>
      </c>
      <c r="C11" s="362"/>
      <c r="D11" s="363"/>
      <c r="E11" s="363"/>
      <c r="F11" s="364"/>
      <c r="G11" s="359"/>
      <c r="H11" s="370" t="str">
        <f>'DATA INPUT '!C8</f>
        <v>NILESHWAR</v>
      </c>
      <c r="I11" s="414"/>
      <c r="J11" s="414"/>
      <c r="K11" s="414"/>
      <c r="L11" s="415"/>
      <c r="O11" s="397" t="str">
        <f>'DATA INPUT '!C16</f>
        <v>SHAFEEK N N</v>
      </c>
      <c r="P11" s="416"/>
      <c r="Q11" s="425"/>
      <c r="R11" s="19"/>
      <c r="S11" s="19"/>
      <c r="T11" s="19"/>
    </row>
    <row r="12" spans="1:20" ht="17.5">
      <c r="A12" s="348"/>
      <c r="B12" s="359" t="s">
        <v>175</v>
      </c>
      <c r="C12" s="366"/>
      <c r="D12" s="359"/>
      <c r="E12" s="359"/>
      <c r="F12" s="359"/>
      <c r="G12" s="359"/>
      <c r="H12" s="369" t="str">
        <f>'DATA INPUT '!C11</f>
        <v>NILESHWAR</v>
      </c>
      <c r="I12" s="369"/>
      <c r="J12" s="369"/>
      <c r="K12" s="369"/>
      <c r="L12" s="411"/>
      <c r="O12" s="417" t="str">
        <f>'DATA INPUT '!C15</f>
        <v>MALE</v>
      </c>
      <c r="P12" s="418"/>
      <c r="Q12" s="425"/>
      <c r="R12" t="str">
        <f>IF(O12="MALE",("He"),("She"))</f>
        <v>He</v>
      </c>
      <c r="S12" s="19"/>
      <c r="T12" s="19"/>
    </row>
    <row r="13" spans="1:20" ht="17.5">
      <c r="A13" s="348"/>
      <c r="B13" s="361" t="s">
        <v>130</v>
      </c>
      <c r="C13" s="362"/>
      <c r="D13" s="363"/>
      <c r="E13" s="363"/>
      <c r="F13" s="364"/>
      <c r="G13" s="359"/>
      <c r="H13" s="370" t="str">
        <f>'DATA INPUT '!C10</f>
        <v>HOSDURG</v>
      </c>
      <c r="I13" s="414"/>
      <c r="J13" s="414"/>
      <c r="K13" s="414"/>
      <c r="L13" s="415"/>
      <c r="O13" s="417"/>
      <c r="P13" s="418"/>
      <c r="Q13" s="425"/>
      <c r="R13" s="19"/>
      <c r="S13" s="19"/>
      <c r="T13" s="19"/>
    </row>
    <row r="14" spans="1:20" ht="17.5">
      <c r="A14" s="348"/>
      <c r="B14" s="359" t="s">
        <v>176</v>
      </c>
      <c r="C14" s="366"/>
      <c r="D14" s="359"/>
      <c r="E14" s="359"/>
      <c r="F14" s="359"/>
      <c r="G14" s="359"/>
      <c r="H14" s="369" t="str">
        <f>'DATA INPUT '!C12</f>
        <v>KASARAGOD</v>
      </c>
      <c r="I14" s="369"/>
      <c r="J14" s="369"/>
      <c r="K14" s="369"/>
      <c r="L14" s="411"/>
      <c r="O14" s="417"/>
      <c r="P14" s="418"/>
      <c r="Q14" s="425"/>
      <c r="R14" s="19" t="s">
        <v>177</v>
      </c>
      <c r="S14" s="19"/>
      <c r="T14" s="19"/>
    </row>
    <row r="15" spans="1:20" ht="17.5">
      <c r="A15" s="348"/>
      <c r="B15" s="361" t="s">
        <v>178</v>
      </c>
      <c r="C15" s="362"/>
      <c r="D15" s="363"/>
      <c r="E15" s="363"/>
      <c r="F15" s="364"/>
      <c r="G15" s="359"/>
      <c r="H15" s="368">
        <f>'DATA INPUT '!C13</f>
        <v>671314</v>
      </c>
      <c r="I15" s="402"/>
      <c r="J15" s="414"/>
      <c r="K15" s="414"/>
      <c r="L15" s="415"/>
      <c r="O15" s="417"/>
      <c r="P15" s="418"/>
      <c r="Q15" s="425"/>
      <c r="R15" s="19">
        <v>2</v>
      </c>
      <c r="S15" s="19"/>
      <c r="T15" s="19"/>
    </row>
    <row r="16" spans="1:20" ht="17.5">
      <c r="A16" s="348"/>
      <c r="B16" s="359" t="s">
        <v>90</v>
      </c>
      <c r="C16" s="366"/>
      <c r="D16" s="359"/>
      <c r="E16" s="359"/>
      <c r="F16" s="359"/>
      <c r="G16" s="359"/>
      <c r="H16" s="369">
        <f>'DATA INPUT '!C26</f>
        <v>9847599008</v>
      </c>
      <c r="I16" s="369"/>
      <c r="J16" s="369"/>
      <c r="K16" s="369"/>
      <c r="L16" s="411"/>
      <c r="N16" s="399" t="s">
        <v>70</v>
      </c>
      <c r="O16" s="419"/>
      <c r="P16" s="420">
        <f>IF(O21="PMEGP",(1),(3))</f>
        <v>3</v>
      </c>
      <c r="Q16" s="425"/>
      <c r="R16" s="19"/>
      <c r="S16" s="19"/>
      <c r="T16" s="19"/>
    </row>
    <row r="17" spans="1:20" ht="17.5">
      <c r="A17" s="348"/>
      <c r="B17" s="361" t="s">
        <v>179</v>
      </c>
      <c r="C17" s="362"/>
      <c r="D17" s="363"/>
      <c r="E17" s="363"/>
      <c r="F17" s="364"/>
      <c r="G17" s="359"/>
      <c r="H17" s="370" t="str">
        <f>IF(O12="MALE",("Mr."&amp;O11),"Mrs."&amp;O11)</f>
        <v>Mr.SHAFEEK N N</v>
      </c>
      <c r="I17" s="414"/>
      <c r="J17" s="414"/>
      <c r="K17" s="414"/>
      <c r="L17" s="403"/>
      <c r="N17" s="55" t="s">
        <v>180</v>
      </c>
      <c r="O17" s="421" t="s">
        <v>181</v>
      </c>
      <c r="P17" s="422"/>
      <c r="Q17" s="425"/>
      <c r="R17" s="19"/>
      <c r="S17" s="19" t="s">
        <v>182</v>
      </c>
      <c r="T17" s="19"/>
    </row>
    <row r="18" spans="1:20" ht="17.5">
      <c r="A18" s="348"/>
      <c r="B18" s="359" t="str">
        <f>'DATA INPUT '!B18</f>
        <v>Name of Father</v>
      </c>
      <c r="C18" s="366"/>
      <c r="D18" s="359"/>
      <c r="E18" s="359"/>
      <c r="F18" s="359"/>
      <c r="G18" s="359"/>
      <c r="H18" s="369" t="str">
        <f>'DATA INPUT '!C18</f>
        <v>M MOIDEEN</v>
      </c>
      <c r="I18" s="369"/>
      <c r="J18" s="369"/>
      <c r="K18" s="369"/>
      <c r="L18" s="406"/>
      <c r="N18" s="56" t="s">
        <v>183</v>
      </c>
      <c r="O18" s="423" t="s">
        <v>184</v>
      </c>
      <c r="P18" s="424"/>
      <c r="Q18" s="425"/>
      <c r="R18" s="19"/>
      <c r="S18" s="19"/>
      <c r="T18" s="19"/>
    </row>
    <row r="19" spans="1:20" ht="17.5">
      <c r="A19" s="348"/>
      <c r="B19" s="361" t="s">
        <v>185</v>
      </c>
      <c r="C19" s="362"/>
      <c r="D19" s="363"/>
      <c r="E19" s="363"/>
      <c r="F19" s="364"/>
      <c r="G19" s="359"/>
      <c r="H19" s="370" t="str">
        <f>'DATA INPUT '!C19</f>
        <v>BAITHUL SHAMNA HOUSE</v>
      </c>
      <c r="I19" s="414"/>
      <c r="J19" s="414"/>
      <c r="K19" s="414"/>
      <c r="L19" s="403"/>
      <c r="N19" s="180"/>
      <c r="O19" s="425"/>
      <c r="P19" s="425"/>
      <c r="Q19" s="425"/>
      <c r="R19" s="19"/>
      <c r="S19" s="19"/>
      <c r="T19" s="19"/>
    </row>
    <row r="20" spans="1:20" ht="17.5">
      <c r="A20" s="348"/>
      <c r="B20" s="359"/>
      <c r="C20" s="366"/>
      <c r="D20" s="359"/>
      <c r="E20" s="359"/>
      <c r="F20" s="359"/>
      <c r="G20" s="359"/>
      <c r="H20" s="369" t="str">
        <f>'DATA INPUT '!C20</f>
        <v>KANHANGAD</v>
      </c>
      <c r="I20" s="369"/>
      <c r="J20" s="369"/>
      <c r="K20" s="369"/>
      <c r="L20" s="406"/>
      <c r="N20" s="27" t="s">
        <v>186</v>
      </c>
      <c r="O20" s="426">
        <v>0.75</v>
      </c>
      <c r="P20" s="85"/>
      <c r="Q20" s="397"/>
      <c r="R20" s="19"/>
      <c r="S20" s="982" t="s">
        <v>187</v>
      </c>
      <c r="T20" s="19"/>
    </row>
    <row r="21" spans="1:20" ht="17.5">
      <c r="A21" s="348"/>
      <c r="B21" s="361"/>
      <c r="C21" s="362"/>
      <c r="D21" s="363"/>
      <c r="E21" s="363"/>
      <c r="F21" s="364"/>
      <c r="G21" s="359"/>
      <c r="H21" s="370" t="str">
        <f>'DATA INPUT '!C11</f>
        <v>NILESHWAR</v>
      </c>
      <c r="I21" s="414"/>
      <c r="J21" s="414"/>
      <c r="K21" s="414"/>
      <c r="L21" s="403"/>
      <c r="N21" s="55"/>
      <c r="O21" s="427" t="str">
        <f>'DATA INPUT '!C36</f>
        <v>MUDRA</v>
      </c>
      <c r="P21" s="428">
        <v>75</v>
      </c>
      <c r="Q21" s="397"/>
      <c r="R21" s="19"/>
      <c r="S21" s="982" t="s">
        <v>188</v>
      </c>
      <c r="T21" s="19"/>
    </row>
    <row r="22" spans="1:20" ht="17.5">
      <c r="A22" s="348"/>
      <c r="B22" s="359"/>
      <c r="C22" s="366"/>
      <c r="D22" s="359"/>
      <c r="E22" s="359"/>
      <c r="F22" s="359"/>
      <c r="G22" s="359"/>
      <c r="H22" s="369" t="str">
        <f>'DATA INPUT '!C25</f>
        <v>KASARAGOD</v>
      </c>
      <c r="I22" s="369"/>
      <c r="J22" s="369"/>
      <c r="K22" s="369"/>
      <c r="L22" s="406"/>
      <c r="N22" s="56" t="s">
        <v>189</v>
      </c>
      <c r="O22" s="429">
        <v>0.95</v>
      </c>
      <c r="P22" s="430"/>
      <c r="Q22" s="397"/>
      <c r="R22" s="19"/>
      <c r="S22" s="19"/>
      <c r="T22" s="19"/>
    </row>
    <row r="23" spans="1:20" ht="17.5">
      <c r="A23" s="348"/>
      <c r="B23" s="361"/>
      <c r="C23" s="362"/>
      <c r="D23" s="363"/>
      <c r="E23" s="363"/>
      <c r="F23" s="364"/>
      <c r="G23" s="359"/>
      <c r="H23" s="370">
        <f>'DATA INPUT '!C27</f>
        <v>671314</v>
      </c>
      <c r="I23" s="414"/>
      <c r="J23" s="414"/>
      <c r="K23" s="414"/>
      <c r="L23" s="403"/>
      <c r="O23" s="418"/>
      <c r="P23" s="421"/>
      <c r="Q23" s="397"/>
      <c r="R23" s="19"/>
      <c r="S23" s="19"/>
      <c r="T23" s="19"/>
    </row>
    <row r="24" spans="1:20" ht="17.5">
      <c r="A24" s="348"/>
      <c r="B24" s="359" t="s">
        <v>190</v>
      </c>
      <c r="C24" s="366"/>
      <c r="D24" s="359"/>
      <c r="E24" s="359"/>
      <c r="F24" s="359"/>
      <c r="G24" s="359"/>
      <c r="H24" s="371" t="str">
        <f>'DATA INPUT '!C28</f>
        <v xml:space="preserve"> 10/05/1988</v>
      </c>
      <c r="I24" s="371"/>
      <c r="J24" s="369"/>
      <c r="K24" s="369"/>
      <c r="L24" s="406"/>
      <c r="N24" s="13" t="s">
        <v>191</v>
      </c>
      <c r="O24" s="431" t="s">
        <v>192</v>
      </c>
      <c r="P24" s="432">
        <f>(J361/100000)+0.7</f>
        <v>8.51</v>
      </c>
      <c r="Q24" s="397"/>
      <c r="R24" s="19"/>
      <c r="S24" s="19"/>
      <c r="T24" s="19"/>
    </row>
    <row r="25" spans="1:20" ht="17.5">
      <c r="A25" s="348"/>
      <c r="B25" s="361" t="s">
        <v>34</v>
      </c>
      <c r="C25" s="362"/>
      <c r="D25" s="363"/>
      <c r="E25" s="363"/>
      <c r="F25" s="364"/>
      <c r="G25" s="359"/>
      <c r="H25" s="368"/>
      <c r="I25" s="402"/>
      <c r="J25" s="402"/>
      <c r="K25" s="402"/>
      <c r="L25" s="403"/>
      <c r="N25" s="55" t="s">
        <v>193</v>
      </c>
      <c r="O25" s="421"/>
      <c r="P25" s="433">
        <f>ROUND(P24,0)</f>
        <v>9</v>
      </c>
      <c r="Q25" s="397"/>
      <c r="R25" s="19"/>
      <c r="S25" s="19"/>
      <c r="T25" s="19"/>
    </row>
    <row r="26" spans="1:20" ht="17.5">
      <c r="A26" s="348"/>
      <c r="B26" s="343" t="s">
        <v>36</v>
      </c>
      <c r="C26" s="342"/>
      <c r="D26" s="343"/>
      <c r="E26" s="343"/>
      <c r="F26" s="343"/>
      <c r="G26" s="343"/>
      <c r="H26" s="372" t="str">
        <f>'DATA INPUT '!C30</f>
        <v>3616 3601 1234</v>
      </c>
      <c r="I26" s="372"/>
      <c r="J26" s="434"/>
      <c r="K26" s="434"/>
      <c r="L26" s="435"/>
      <c r="N26" s="56" t="s">
        <v>194</v>
      </c>
      <c r="O26" s="423"/>
      <c r="P26" s="436"/>
      <c r="Q26" s="397"/>
      <c r="R26" s="19"/>
      <c r="S26" s="19"/>
      <c r="T26" s="19"/>
    </row>
    <row r="27" spans="1:20" ht="17.5">
      <c r="A27" s="348"/>
      <c r="B27" s="361" t="s">
        <v>38</v>
      </c>
      <c r="C27" s="362"/>
      <c r="D27" s="363"/>
      <c r="E27" s="363"/>
      <c r="F27" s="364"/>
      <c r="G27" s="359"/>
      <c r="H27" s="368" t="str">
        <f>'DATA INPUT '!C31</f>
        <v>SERVICE</v>
      </c>
      <c r="I27" s="402"/>
      <c r="J27" s="437"/>
      <c r="K27" s="437"/>
      <c r="L27" s="415"/>
      <c r="O27" s="438"/>
      <c r="P27" s="421"/>
      <c r="Q27" s="397"/>
      <c r="R27" s="19"/>
      <c r="S27" s="19"/>
      <c r="T27" s="19"/>
    </row>
    <row r="28" spans="1:20" ht="17.5">
      <c r="A28" s="348"/>
      <c r="B28" s="359" t="s">
        <v>195</v>
      </c>
      <c r="C28" s="366"/>
      <c r="D28" s="359"/>
      <c r="E28" s="359"/>
      <c r="F28" s="359"/>
      <c r="G28" s="359"/>
      <c r="H28" s="373" t="str">
        <f>'DATA INPUT '!C35</f>
        <v>DIGITAL PRINTING</v>
      </c>
      <c r="I28" s="367"/>
      <c r="J28" s="439"/>
      <c r="K28" s="439"/>
      <c r="L28" s="411"/>
      <c r="N28" s="249" t="s">
        <v>196</v>
      </c>
      <c r="O28" s="440"/>
      <c r="P28" s="441">
        <v>10.5</v>
      </c>
      <c r="Q28" s="397"/>
      <c r="R28" s="19"/>
      <c r="S28" s="19"/>
      <c r="T28" s="19"/>
    </row>
    <row r="29" spans="1:20" ht="17.5">
      <c r="A29" s="348"/>
      <c r="B29" s="361" t="s">
        <v>40</v>
      </c>
      <c r="C29" s="362"/>
      <c r="D29" s="363"/>
      <c r="E29" s="363"/>
      <c r="F29" s="364"/>
      <c r="G29" s="359"/>
      <c r="H29" s="370" t="str">
        <f>'DATA INPUT '!C32</f>
        <v>FRESH</v>
      </c>
      <c r="I29" s="414"/>
      <c r="J29" s="414"/>
      <c r="K29" s="414"/>
      <c r="L29" s="442"/>
      <c r="N29" s="266"/>
      <c r="O29" s="423"/>
      <c r="P29" s="436"/>
      <c r="Q29" s="482"/>
      <c r="R29" s="19"/>
      <c r="S29" s="19"/>
      <c r="T29" s="19"/>
    </row>
    <row r="30" spans="1:20" ht="17.5">
      <c r="A30" s="348"/>
      <c r="B30" s="359" t="s">
        <v>42</v>
      </c>
      <c r="C30" s="366"/>
      <c r="D30" s="359"/>
      <c r="E30" s="359"/>
      <c r="F30" s="359"/>
      <c r="G30" s="359"/>
      <c r="H30" s="369" t="str">
        <f>'DATA INPUT '!C33</f>
        <v>SSLC</v>
      </c>
      <c r="I30" s="369"/>
      <c r="J30" s="439"/>
      <c r="K30" s="439"/>
      <c r="L30" s="398"/>
      <c r="O30" s="443"/>
      <c r="P30" s="421"/>
      <c r="Q30" s="425"/>
      <c r="R30" s="19"/>
      <c r="S30" s="19"/>
      <c r="T30" s="19"/>
    </row>
    <row r="31" spans="1:20" ht="17.5">
      <c r="A31" s="348"/>
      <c r="B31" s="361" t="s">
        <v>197</v>
      </c>
      <c r="C31" s="362"/>
      <c r="D31" s="363"/>
      <c r="E31" s="363"/>
      <c r="F31" s="364"/>
      <c r="G31" s="359"/>
      <c r="H31" s="370">
        <f>'DATA INPUT '!C34</f>
        <v>12</v>
      </c>
      <c r="I31" s="414"/>
      <c r="J31" s="414"/>
      <c r="K31" s="414"/>
      <c r="L31" s="442"/>
      <c r="N31" s="19" t="s">
        <v>198</v>
      </c>
      <c r="O31" s="425"/>
      <c r="P31" s="421"/>
      <c r="Q31" s="421"/>
      <c r="R31" s="19" t="s">
        <v>199</v>
      </c>
      <c r="S31" s="982" t="s">
        <v>200</v>
      </c>
      <c r="T31" s="19"/>
    </row>
    <row r="32" spans="1:20" ht="17.5">
      <c r="A32" s="348"/>
      <c r="B32" s="359"/>
      <c r="C32" s="366"/>
      <c r="D32" s="359"/>
      <c r="E32" s="359"/>
      <c r="F32" s="359"/>
      <c r="G32" s="359"/>
      <c r="H32" s="369"/>
      <c r="I32" s="369"/>
      <c r="J32" s="369"/>
      <c r="K32" s="369"/>
      <c r="L32" s="398"/>
      <c r="N32" s="444" t="s">
        <v>201</v>
      </c>
      <c r="O32" s="445">
        <v>500</v>
      </c>
      <c r="P32" s="61"/>
      <c r="Q32" s="483"/>
      <c r="R32" s="100">
        <f>J307</f>
        <v>139830</v>
      </c>
      <c r="S32" s="982" t="s">
        <v>202</v>
      </c>
      <c r="T32" s="19"/>
    </row>
    <row r="33" spans="1:20" ht="17.5">
      <c r="A33" s="348"/>
      <c r="B33" s="361" t="s">
        <v>47</v>
      </c>
      <c r="C33" s="362"/>
      <c r="D33" s="363"/>
      <c r="E33" s="363"/>
      <c r="F33" s="364"/>
      <c r="G33" s="359"/>
      <c r="H33" s="370" t="s">
        <v>203</v>
      </c>
      <c r="I33" s="414"/>
      <c r="J33" s="414"/>
      <c r="K33" s="414"/>
      <c r="L33" s="442"/>
      <c r="N33" s="446"/>
      <c r="O33" s="235"/>
      <c r="P33" s="447" t="str">
        <f>IF(R32&gt;R33,"1000","500")</f>
        <v>500</v>
      </c>
      <c r="Q33" s="484"/>
      <c r="R33" s="19">
        <v>500000</v>
      </c>
      <c r="S33" s="19"/>
      <c r="T33" s="19"/>
    </row>
    <row r="34" spans="1:20" ht="17.5">
      <c r="A34" s="348"/>
      <c r="B34" s="359" t="s">
        <v>204</v>
      </c>
      <c r="C34" s="366"/>
      <c r="D34" s="359"/>
      <c r="E34" s="359"/>
      <c r="F34" s="359"/>
      <c r="G34" s="359"/>
      <c r="H34" s="369" t="s">
        <v>205</v>
      </c>
      <c r="I34" s="369"/>
      <c r="J34" s="369"/>
      <c r="K34" s="369"/>
      <c r="L34" s="398"/>
      <c r="N34" s="10" t="s">
        <v>206</v>
      </c>
      <c r="O34" s="445">
        <v>1000</v>
      </c>
      <c r="P34" s="448"/>
      <c r="Q34" s="485"/>
      <c r="R34" s="19"/>
      <c r="S34" s="19"/>
      <c r="T34" s="19"/>
    </row>
    <row r="35" spans="1:20" ht="17.5">
      <c r="A35" s="348"/>
      <c r="B35" s="353" t="s">
        <v>207</v>
      </c>
      <c r="C35" s="354"/>
      <c r="D35" s="356"/>
      <c r="E35" s="356"/>
      <c r="F35" s="357"/>
      <c r="G35" s="343"/>
      <c r="H35" s="994">
        <f>L167</f>
        <v>781000</v>
      </c>
      <c r="I35" s="995"/>
      <c r="J35" s="995"/>
      <c r="K35" s="995"/>
      <c r="L35" s="996"/>
      <c r="N35" s="19"/>
      <c r="O35" s="449" t="s">
        <v>208</v>
      </c>
      <c r="P35" s="449"/>
      <c r="Q35" s="486"/>
      <c r="R35" s="487"/>
      <c r="S35" s="19"/>
      <c r="T35" s="19"/>
    </row>
    <row r="36" spans="1:20" ht="17.5">
      <c r="A36" s="348"/>
      <c r="B36" s="343" t="s">
        <v>209</v>
      </c>
      <c r="C36" s="342"/>
      <c r="D36" s="343"/>
      <c r="E36" s="343"/>
      <c r="F36" s="343"/>
      <c r="G36" s="343"/>
      <c r="H36" s="997">
        <f>F308</f>
        <v>139830</v>
      </c>
      <c r="I36" s="997"/>
      <c r="J36" s="997"/>
      <c r="K36" s="997"/>
      <c r="L36" s="998"/>
      <c r="N36" s="25" t="s">
        <v>210</v>
      </c>
      <c r="O36" s="450"/>
      <c r="P36" s="450"/>
      <c r="Q36" s="449"/>
      <c r="R36" s="19"/>
      <c r="S36" s="19"/>
    </row>
    <row r="37" spans="1:20" ht="17.5">
      <c r="A37" s="348"/>
      <c r="B37" s="353" t="s">
        <v>211</v>
      </c>
      <c r="C37" s="354"/>
      <c r="D37" s="356"/>
      <c r="E37" s="356"/>
      <c r="F37" s="357"/>
      <c r="G37" s="343"/>
      <c r="H37" s="999">
        <f>J365</f>
        <v>920830</v>
      </c>
      <c r="I37" s="1000"/>
      <c r="J37" s="1000"/>
      <c r="K37" s="1000"/>
      <c r="L37" s="1001"/>
      <c r="N37" s="19"/>
      <c r="O37" s="451"/>
      <c r="P37" s="451"/>
      <c r="Q37" s="451"/>
      <c r="R37" s="19"/>
      <c r="S37" s="19"/>
    </row>
    <row r="38" spans="1:20" ht="18">
      <c r="A38" s="348"/>
      <c r="B38" s="374" t="s">
        <v>212</v>
      </c>
      <c r="C38" s="375"/>
      <c r="D38" s="343"/>
      <c r="E38" s="343"/>
      <c r="F38" s="343"/>
      <c r="G38" s="343"/>
      <c r="H38" s="1002"/>
      <c r="I38" s="1002"/>
      <c r="J38" s="1002"/>
      <c r="K38" s="1002"/>
      <c r="L38" s="1003"/>
      <c r="N38" s="25" t="s">
        <v>213</v>
      </c>
      <c r="O38" s="450"/>
      <c r="P38" s="452">
        <f>'DATA INPUT '!C37*12</f>
        <v>60</v>
      </c>
      <c r="Q38" s="451"/>
      <c r="R38" s="19"/>
      <c r="S38" s="19"/>
    </row>
    <row r="39" spans="1:20" ht="17.5">
      <c r="A39" s="348"/>
      <c r="B39" s="353" t="s">
        <v>214</v>
      </c>
      <c r="C39" s="354"/>
      <c r="D39" s="356"/>
      <c r="E39" s="356"/>
      <c r="F39" s="357"/>
      <c r="G39" s="343"/>
      <c r="H39" s="999">
        <f>F365</f>
        <v>285080</v>
      </c>
      <c r="I39" s="1000"/>
      <c r="J39" s="1000"/>
      <c r="K39" s="1000"/>
      <c r="L39" s="1001"/>
      <c r="N39" s="453"/>
      <c r="O39" s="451"/>
      <c r="P39" s="451"/>
      <c r="Q39" s="451"/>
      <c r="R39" s="19"/>
      <c r="S39" s="19"/>
    </row>
    <row r="40" spans="1:20" ht="17.5">
      <c r="A40" s="348"/>
      <c r="B40" s="343" t="s">
        <v>215</v>
      </c>
      <c r="C40" s="342"/>
      <c r="D40" s="343"/>
      <c r="E40" s="343"/>
      <c r="F40" s="343"/>
      <c r="G40" s="343"/>
      <c r="H40" s="997">
        <f>H361</f>
        <v>585750</v>
      </c>
      <c r="I40" s="997"/>
      <c r="J40" s="997"/>
      <c r="K40" s="997"/>
      <c r="L40" s="998"/>
      <c r="N40" s="454" t="s">
        <v>216</v>
      </c>
      <c r="O40" s="455"/>
      <c r="P40" s="456">
        <f>H41*5/100/2*12</f>
        <v>15000</v>
      </c>
      <c r="Q40" s="451"/>
      <c r="R40" s="488"/>
      <c r="S40" s="19"/>
      <c r="T40" s="19"/>
    </row>
    <row r="41" spans="1:20" ht="17.5">
      <c r="A41" s="348"/>
      <c r="B41" s="353" t="s">
        <v>217</v>
      </c>
      <c r="C41" s="354"/>
      <c r="D41" s="356"/>
      <c r="E41" s="356"/>
      <c r="F41" s="357"/>
      <c r="G41" s="343"/>
      <c r="H41" s="1004">
        <f>H363</f>
        <v>50000</v>
      </c>
      <c r="I41" s="1005"/>
      <c r="J41" s="1005"/>
      <c r="K41" s="1005"/>
      <c r="L41" s="1006"/>
      <c r="N41" s="453"/>
      <c r="O41" s="451"/>
      <c r="P41" s="451"/>
      <c r="Q41" s="455"/>
      <c r="R41" s="488"/>
      <c r="S41" s="19"/>
      <c r="T41" s="19"/>
    </row>
    <row r="42" spans="1:20" ht="17.5">
      <c r="A42" s="348"/>
      <c r="B42" s="343" t="s">
        <v>218</v>
      </c>
      <c r="C42" s="342"/>
      <c r="D42" s="343"/>
      <c r="E42" s="343"/>
      <c r="F42" s="343"/>
      <c r="G42" s="343"/>
      <c r="H42" s="1007">
        <f>SUM(H39:H41)</f>
        <v>920830</v>
      </c>
      <c r="I42" s="1007"/>
      <c r="J42" s="1007"/>
      <c r="K42" s="1007"/>
      <c r="L42" s="1008"/>
      <c r="N42" s="19"/>
      <c r="O42" s="449"/>
      <c r="P42" s="449"/>
      <c r="Q42" s="451"/>
      <c r="R42" s="486"/>
      <c r="S42" s="19"/>
      <c r="T42" s="19"/>
    </row>
    <row r="43" spans="1:20" ht="17.5">
      <c r="A43" s="348"/>
      <c r="B43" s="353"/>
      <c r="C43" s="354"/>
      <c r="D43" s="356"/>
      <c r="E43" s="356"/>
      <c r="F43" s="357"/>
      <c r="G43" s="343"/>
      <c r="H43" s="1009"/>
      <c r="I43" s="1010"/>
      <c r="J43" s="1010"/>
      <c r="K43" s="1010"/>
      <c r="L43" s="1011"/>
      <c r="N43" s="249" t="s">
        <v>219</v>
      </c>
      <c r="O43" s="440"/>
      <c r="P43" s="457" t="s">
        <v>220</v>
      </c>
      <c r="Q43" s="19"/>
      <c r="R43" s="489"/>
      <c r="S43" s="19"/>
      <c r="T43" s="19"/>
    </row>
    <row r="44" spans="1:20" ht="17.5">
      <c r="A44" s="348"/>
      <c r="B44" s="343" t="s">
        <v>221</v>
      </c>
      <c r="C44" s="342"/>
      <c r="D44" s="343"/>
      <c r="E44" s="343"/>
      <c r="F44" s="343"/>
      <c r="G44" s="343"/>
      <c r="H44" s="1012" t="s">
        <v>222</v>
      </c>
      <c r="I44" s="1012"/>
      <c r="J44" s="1012"/>
      <c r="K44" s="1012"/>
      <c r="L44" s="1013"/>
      <c r="N44" s="266" t="s">
        <v>223</v>
      </c>
      <c r="O44" s="423"/>
      <c r="P44" s="436"/>
      <c r="Q44" s="19"/>
      <c r="S44" s="19"/>
      <c r="T44" s="19"/>
    </row>
    <row r="45" spans="1:20" ht="17.5">
      <c r="A45" s="348"/>
      <c r="B45" s="353" t="s">
        <v>224</v>
      </c>
      <c r="C45" s="354"/>
      <c r="D45" s="356"/>
      <c r="E45" s="356"/>
      <c r="F45" s="357"/>
      <c r="G45" s="343"/>
      <c r="H45" s="1009">
        <f>F393</f>
        <v>3</v>
      </c>
      <c r="I45" s="1010"/>
      <c r="J45" s="1010"/>
      <c r="K45" s="1010"/>
      <c r="L45" s="1011"/>
      <c r="N45" s="249"/>
      <c r="O45" s="458"/>
      <c r="P45" s="459"/>
      <c r="Q45" s="19"/>
      <c r="S45" s="19"/>
      <c r="T45" s="19"/>
    </row>
    <row r="46" spans="1:20" ht="17.5">
      <c r="A46" s="348"/>
      <c r="B46" s="343" t="s">
        <v>225</v>
      </c>
      <c r="C46" s="342"/>
      <c r="D46" s="343"/>
      <c r="E46" s="343"/>
      <c r="F46" s="343"/>
      <c r="G46" s="343"/>
      <c r="H46" s="997">
        <f>L471*12</f>
        <v>1829000</v>
      </c>
      <c r="I46" s="997"/>
      <c r="J46" s="997"/>
      <c r="K46" s="997"/>
      <c r="L46" s="998"/>
      <c r="N46" s="55" t="s">
        <v>226</v>
      </c>
      <c r="O46" s="118">
        <f>J307*P46/100</f>
        <v>908.89499999999998</v>
      </c>
      <c r="P46" s="428">
        <v>0.65</v>
      </c>
      <c r="Q46" s="19"/>
      <c r="S46" s="19"/>
      <c r="T46" s="19"/>
    </row>
    <row r="47" spans="1:20" ht="17.5">
      <c r="A47" s="348"/>
      <c r="B47" s="353" t="s">
        <v>227</v>
      </c>
      <c r="C47" s="354"/>
      <c r="D47" s="356"/>
      <c r="E47" s="356"/>
      <c r="F47" s="357"/>
      <c r="G47" s="343"/>
      <c r="H47" s="1004">
        <f>J492</f>
        <v>388708.03250000003</v>
      </c>
      <c r="I47" s="1005"/>
      <c r="J47" s="1005"/>
      <c r="K47" s="1005"/>
      <c r="L47" s="1006"/>
      <c r="N47" s="55" t="s">
        <v>228</v>
      </c>
      <c r="O47" s="118">
        <f>J307*P47/100</f>
        <v>419.49</v>
      </c>
      <c r="P47" s="428">
        <v>0.3</v>
      </c>
      <c r="Q47" s="19"/>
      <c r="S47" s="19"/>
      <c r="T47" s="19"/>
    </row>
    <row r="48" spans="1:20" ht="17.5">
      <c r="A48" s="348"/>
      <c r="B48" s="343" t="s">
        <v>229</v>
      </c>
      <c r="C48" s="342"/>
      <c r="D48" s="343"/>
      <c r="E48" s="343"/>
      <c r="F48" s="343"/>
      <c r="G48" s="343"/>
      <c r="H48" s="1014">
        <f>L596</f>
        <v>40.709618833477123</v>
      </c>
      <c r="I48" s="1014"/>
      <c r="J48" s="1014"/>
      <c r="K48" s="1014"/>
      <c r="L48" s="1015"/>
      <c r="N48" s="55" t="s">
        <v>230</v>
      </c>
      <c r="O48" s="118">
        <f>J307*P48/100</f>
        <v>125.84699999999999</v>
      </c>
      <c r="P48" s="428">
        <v>0.09</v>
      </c>
      <c r="Q48" s="19"/>
      <c r="S48" s="19"/>
      <c r="T48" s="19"/>
    </row>
    <row r="49" spans="1:20" ht="17.5">
      <c r="A49" s="348"/>
      <c r="B49" s="353" t="s">
        <v>231</v>
      </c>
      <c r="C49" s="354"/>
      <c r="D49" s="356"/>
      <c r="E49" s="356"/>
      <c r="F49" s="357"/>
      <c r="G49" s="343"/>
      <c r="H49" s="376">
        <f>D632</f>
        <v>2.840748842874544</v>
      </c>
      <c r="I49" s="460"/>
      <c r="J49" s="1016" t="s">
        <v>232</v>
      </c>
      <c r="K49" s="1016"/>
      <c r="L49" s="1017"/>
      <c r="N49" s="55" t="s">
        <v>233</v>
      </c>
      <c r="O49" s="118">
        <f>J307*P49/100</f>
        <v>125.84699999999999</v>
      </c>
      <c r="P49" s="428">
        <v>0.09</v>
      </c>
      <c r="Q49" s="19"/>
      <c r="S49" s="21"/>
      <c r="T49" s="19"/>
    </row>
    <row r="50" spans="1:20" ht="17.5">
      <c r="A50" s="348"/>
      <c r="B50" s="343" t="s">
        <v>234</v>
      </c>
      <c r="C50" s="342"/>
      <c r="D50" s="343"/>
      <c r="E50" s="343"/>
      <c r="F50" s="343"/>
      <c r="G50" s="343"/>
      <c r="H50" s="377"/>
      <c r="I50" s="377"/>
      <c r="J50" s="1012" t="s">
        <v>235</v>
      </c>
      <c r="K50" s="1012"/>
      <c r="L50" s="1013"/>
      <c r="N50" s="55" t="s">
        <v>236</v>
      </c>
      <c r="O50" s="118">
        <f>J307*P50/100</f>
        <v>489.40499999999997</v>
      </c>
      <c r="P50" s="428">
        <v>0.35</v>
      </c>
      <c r="Q50" s="449"/>
      <c r="R50" s="19"/>
      <c r="S50" s="19"/>
      <c r="T50" s="19"/>
    </row>
    <row r="51" spans="1:20" ht="17.5">
      <c r="A51" s="348"/>
      <c r="B51" s="353"/>
      <c r="C51" s="354"/>
      <c r="D51" s="356"/>
      <c r="E51" s="356"/>
      <c r="F51" s="357"/>
      <c r="G51" s="343"/>
      <c r="H51" s="358"/>
      <c r="I51" s="394"/>
      <c r="J51" s="1005">
        <f>'DATA INPUT '!C6*12</f>
        <v>66000</v>
      </c>
      <c r="K51" s="1005"/>
      <c r="L51" s="1006"/>
      <c r="N51" s="55" t="s">
        <v>237</v>
      </c>
      <c r="O51" s="118">
        <f>J307*P51/100</f>
        <v>559.32000000000005</v>
      </c>
      <c r="P51" s="428">
        <v>0.4</v>
      </c>
      <c r="Q51" s="470"/>
      <c r="R51" s="19"/>
      <c r="S51" s="100"/>
      <c r="T51" s="19"/>
    </row>
    <row r="52" spans="1:20" ht="17.5">
      <c r="A52" s="348"/>
      <c r="B52" s="343" t="s">
        <v>238</v>
      </c>
      <c r="C52" s="342"/>
      <c r="D52" s="343"/>
      <c r="E52" s="343"/>
      <c r="F52" s="343"/>
      <c r="G52" s="343"/>
      <c r="H52" s="378" t="str">
        <f>'DATA INPUT '!C38</f>
        <v>FEDERAL BANK</v>
      </c>
      <c r="I52" s="378"/>
      <c r="J52" s="461"/>
      <c r="K52" s="461"/>
      <c r="L52" s="462"/>
      <c r="N52" s="56" t="s">
        <v>239</v>
      </c>
      <c r="O52" s="463">
        <f>J307*P52/100</f>
        <v>978.81</v>
      </c>
      <c r="P52" s="428">
        <v>0.7</v>
      </c>
      <c r="Q52" s="4"/>
      <c r="R52" s="21"/>
      <c r="S52" s="19"/>
      <c r="T52" s="19"/>
    </row>
    <row r="53" spans="1:20" ht="17.5">
      <c r="A53" s="348"/>
      <c r="B53" s="353"/>
      <c r="C53" s="354"/>
      <c r="D53" s="356"/>
      <c r="E53" s="356"/>
      <c r="F53" s="357"/>
      <c r="G53" s="343"/>
      <c r="H53" s="368" t="str">
        <f>'DATA INPUT '!C39</f>
        <v>NILESHWAR</v>
      </c>
      <c r="I53" s="402"/>
      <c r="J53" s="437"/>
      <c r="K53" s="437"/>
      <c r="L53" s="442"/>
      <c r="N53" s="19"/>
      <c r="O53" s="449"/>
      <c r="P53" s="449"/>
      <c r="Q53" s="7"/>
      <c r="R53" s="19"/>
      <c r="S53" s="19"/>
      <c r="T53" s="19"/>
    </row>
    <row r="54" spans="1:20" ht="17.5" hidden="1">
      <c r="A54" s="348"/>
      <c r="B54" s="379"/>
      <c r="C54" s="380"/>
      <c r="D54" s="379"/>
      <c r="E54" s="379"/>
      <c r="F54" s="379"/>
      <c r="G54" s="343"/>
      <c r="H54" s="381"/>
      <c r="I54" s="381"/>
      <c r="J54" s="464"/>
      <c r="K54" s="464"/>
      <c r="L54" s="465"/>
      <c r="N54" s="19"/>
      <c r="O54" s="449"/>
      <c r="P54" s="449"/>
      <c r="Q54" s="7"/>
      <c r="R54" s="19"/>
      <c r="S54" s="19"/>
      <c r="T54" s="19"/>
    </row>
    <row r="55" spans="1:20" ht="17.5" hidden="1">
      <c r="A55" s="348"/>
      <c r="B55" s="379"/>
      <c r="C55" s="380"/>
      <c r="D55" s="379"/>
      <c r="E55" s="379"/>
      <c r="F55" s="379"/>
      <c r="G55" s="343"/>
      <c r="H55" s="381"/>
      <c r="I55" s="381"/>
      <c r="J55" s="464"/>
      <c r="K55" s="464"/>
      <c r="L55" s="465"/>
      <c r="N55" s="19"/>
      <c r="O55" s="449"/>
      <c r="P55" s="449"/>
      <c r="Q55" s="7"/>
      <c r="R55" s="19"/>
      <c r="S55" s="19"/>
      <c r="T55" s="19"/>
    </row>
    <row r="56" spans="1:20" ht="17.5" hidden="1">
      <c r="A56" s="348"/>
      <c r="B56" s="379"/>
      <c r="C56" s="380"/>
      <c r="D56" s="379"/>
      <c r="E56" s="379"/>
      <c r="F56" s="379"/>
      <c r="G56" s="343"/>
      <c r="H56" s="381"/>
      <c r="I56" s="381"/>
      <c r="J56" s="464"/>
      <c r="K56" s="464"/>
      <c r="L56" s="465"/>
      <c r="N56" s="19"/>
      <c r="O56" s="449"/>
      <c r="P56" s="449"/>
      <c r="Q56" s="7"/>
      <c r="R56" s="19"/>
      <c r="S56" s="19"/>
      <c r="T56" s="19"/>
    </row>
    <row r="57" spans="1:20" ht="17.5" hidden="1">
      <c r="A57" s="348"/>
      <c r="B57" s="379"/>
      <c r="C57" s="380"/>
      <c r="D57" s="379"/>
      <c r="E57" s="379"/>
      <c r="F57" s="379"/>
      <c r="G57" s="343"/>
      <c r="H57" s="381"/>
      <c r="I57" s="381"/>
      <c r="J57" s="464"/>
      <c r="K57" s="464"/>
      <c r="L57" s="465"/>
      <c r="N57" s="19"/>
      <c r="O57" s="449"/>
      <c r="P57" s="449"/>
      <c r="Q57" s="7"/>
      <c r="R57" s="19"/>
      <c r="S57" s="19"/>
      <c r="T57" s="19"/>
    </row>
    <row r="58" spans="1:20" ht="15.5">
      <c r="A58" s="382"/>
      <c r="B58" s="383"/>
      <c r="C58" s="384"/>
      <c r="D58" s="383"/>
      <c r="E58" s="385"/>
      <c r="F58" s="383"/>
      <c r="G58" s="385"/>
      <c r="H58" s="386"/>
      <c r="I58" s="466"/>
      <c r="J58" s="386"/>
      <c r="K58" s="466"/>
      <c r="L58" s="467"/>
      <c r="N58" s="25" t="s">
        <v>240</v>
      </c>
      <c r="O58" s="468" t="s">
        <v>241</v>
      </c>
      <c r="P58" s="469">
        <v>18</v>
      </c>
      <c r="R58" s="19"/>
      <c r="S58" s="19"/>
      <c r="T58" s="19"/>
    </row>
    <row r="59" spans="1:20" ht="15.5">
      <c r="N59" s="19"/>
      <c r="O59" s="470"/>
      <c r="P59" s="470"/>
      <c r="R59" s="19"/>
      <c r="S59" s="19"/>
      <c r="T59" s="19"/>
    </row>
    <row r="60" spans="1:20" ht="15.5" hidden="1">
      <c r="N60" s="19"/>
      <c r="O60" s="290"/>
      <c r="P60" s="4"/>
      <c r="R60" s="19"/>
      <c r="S60" s="19"/>
      <c r="T60" s="19"/>
    </row>
    <row r="61" spans="1:20" ht="14.5">
      <c r="N61" s="471" t="s">
        <v>242</v>
      </c>
      <c r="O61" s="279"/>
      <c r="P61" s="85"/>
    </row>
    <row r="62" spans="1:20" ht="14.5">
      <c r="A62" s="387"/>
      <c r="B62" s="388"/>
      <c r="C62" s="389"/>
      <c r="D62" s="388"/>
      <c r="E62" s="390"/>
      <c r="F62" s="388"/>
      <c r="G62" s="390"/>
      <c r="H62" s="388"/>
      <c r="I62" s="390"/>
      <c r="J62" s="388"/>
      <c r="K62" s="390"/>
      <c r="L62" s="472"/>
      <c r="N62" s="473" t="s">
        <v>243</v>
      </c>
      <c r="O62" s="474">
        <f>N7</f>
        <v>8</v>
      </c>
      <c r="P62" s="475" t="s">
        <v>244</v>
      </c>
    </row>
    <row r="63" spans="1:20" ht="14.5">
      <c r="A63" s="391"/>
      <c r="L63" s="476"/>
      <c r="N63" s="477">
        <f>J361</f>
        <v>781000</v>
      </c>
      <c r="O63" s="478">
        <f>N63*10/100/12*N7</f>
        <v>52066.666666666664</v>
      </c>
      <c r="P63" s="479">
        <f>O63*100/N63</f>
        <v>6.6666666666666661</v>
      </c>
    </row>
    <row r="64" spans="1:20" ht="14.5">
      <c r="A64" s="391"/>
      <c r="L64" s="476"/>
      <c r="N64" s="480">
        <f>N63-O63</f>
        <v>728933.33333333337</v>
      </c>
      <c r="O64" s="478">
        <f>N64*10/100</f>
        <v>72893.333333333343</v>
      </c>
      <c r="P64" s="479">
        <f>O64*100/N63</f>
        <v>9.3333333333333339</v>
      </c>
    </row>
    <row r="65" spans="1:20" ht="14.5">
      <c r="A65" s="391"/>
      <c r="L65" s="476"/>
      <c r="N65" s="480">
        <f>N64-O64</f>
        <v>656040</v>
      </c>
      <c r="O65" s="478">
        <f>N65*10/100</f>
        <v>65604</v>
      </c>
      <c r="P65" s="479">
        <f>O65*100/N63</f>
        <v>8.4</v>
      </c>
    </row>
    <row r="66" spans="1:20" ht="14.5">
      <c r="A66" s="391"/>
      <c r="L66" s="476"/>
      <c r="N66" s="480">
        <f>N65-O65</f>
        <v>590436</v>
      </c>
      <c r="O66" s="478">
        <f>N66*10/100</f>
        <v>59043.6</v>
      </c>
      <c r="P66" s="479">
        <f>O66*100/N63</f>
        <v>7.56</v>
      </c>
    </row>
    <row r="67" spans="1:20" ht="14.5">
      <c r="A67" s="391"/>
      <c r="L67" s="476"/>
      <c r="N67" s="480">
        <f>N66-O66</f>
        <v>531392.4</v>
      </c>
      <c r="O67" s="478">
        <f>N67*10/100</f>
        <v>53139.24</v>
      </c>
      <c r="P67" s="479">
        <f>O67*100/N63</f>
        <v>6.8040000000000003</v>
      </c>
    </row>
    <row r="68" spans="1:20" ht="14.5">
      <c r="A68" s="391"/>
      <c r="L68" s="476"/>
      <c r="N68" s="480">
        <f t="shared" ref="N68:N69" si="0">N67-O67</f>
        <v>478253.16000000003</v>
      </c>
      <c r="O68" s="478">
        <f t="shared" ref="O68:O69" si="1">N68*10/100</f>
        <v>47825.316000000006</v>
      </c>
      <c r="P68" s="479">
        <f t="shared" ref="P68:P69" si="2">O68*100/N64</f>
        <v>6.5610000000000008</v>
      </c>
    </row>
    <row r="69" spans="1:20" ht="20">
      <c r="A69" s="391"/>
      <c r="D69" s="490" t="s">
        <v>245</v>
      </c>
      <c r="E69" s="490"/>
      <c r="F69" s="491"/>
      <c r="G69" s="491"/>
      <c r="H69" s="491"/>
      <c r="L69" s="476"/>
      <c r="N69" s="480">
        <f t="shared" si="0"/>
        <v>430427.84400000004</v>
      </c>
      <c r="O69" s="478">
        <f t="shared" si="1"/>
        <v>43042.784400000004</v>
      </c>
      <c r="P69" s="479">
        <f t="shared" si="2"/>
        <v>6.5610000000000008</v>
      </c>
    </row>
    <row r="70" spans="1:20">
      <c r="A70" s="391"/>
      <c r="L70" s="476"/>
    </row>
    <row r="71" spans="1:20">
      <c r="A71" s="391"/>
      <c r="L71" s="476"/>
      <c r="N71" s="546" t="s">
        <v>246</v>
      </c>
    </row>
    <row r="72" spans="1:20">
      <c r="A72" s="391"/>
      <c r="L72" s="476"/>
      <c r="N72" s="547" t="s">
        <v>247</v>
      </c>
    </row>
    <row r="73" spans="1:20" ht="20">
      <c r="A73" s="391"/>
      <c r="B73" s="492"/>
      <c r="C73" s="493"/>
      <c r="I73" s="497"/>
      <c r="J73" s="19"/>
      <c r="K73" s="497"/>
      <c r="L73" s="548"/>
    </row>
    <row r="74" spans="1:20" ht="20">
      <c r="A74" s="391"/>
      <c r="B74" s="492" t="s">
        <v>248</v>
      </c>
      <c r="C74" s="493"/>
      <c r="D74" s="494"/>
      <c r="E74" s="493"/>
      <c r="F74" s="494"/>
      <c r="G74" s="493"/>
      <c r="H74" s="494"/>
      <c r="I74" s="497"/>
      <c r="J74" s="19"/>
      <c r="K74" s="497"/>
      <c r="L74" s="548"/>
      <c r="M74" s="19"/>
      <c r="N74" s="19"/>
    </row>
    <row r="75" spans="1:20" ht="15.5">
      <c r="A75" s="391"/>
      <c r="B75" s="495"/>
      <c r="C75" s="496"/>
      <c r="D75" s="19"/>
      <c r="E75" s="497"/>
      <c r="F75" s="19"/>
      <c r="G75" s="497"/>
      <c r="H75" s="19"/>
      <c r="I75" s="497"/>
      <c r="J75" s="19"/>
      <c r="K75" s="497"/>
      <c r="L75" s="548"/>
      <c r="M75" s="19"/>
      <c r="N75" s="497"/>
    </row>
    <row r="76" spans="1:20" ht="20">
      <c r="A76" s="391"/>
      <c r="B76" s="498" t="s">
        <v>249</v>
      </c>
      <c r="C76" s="499"/>
      <c r="D76" s="500"/>
      <c r="E76" s="501"/>
      <c r="F76" s="500"/>
      <c r="G76" s="501"/>
      <c r="H76" s="500"/>
      <c r="I76" s="501"/>
      <c r="J76" s="500"/>
      <c r="K76" s="501"/>
      <c r="L76" s="549"/>
      <c r="M76" s="19"/>
      <c r="N76" s="550"/>
      <c r="R76" s="118"/>
      <c r="S76" s="19"/>
      <c r="T76" s="19"/>
    </row>
    <row r="77" spans="1:20" ht="11.25" customHeight="1">
      <c r="A77" s="391"/>
      <c r="B77" s="502"/>
      <c r="C77" s="503"/>
      <c r="D77" s="500"/>
      <c r="E77" s="501"/>
      <c r="F77" s="500"/>
      <c r="G77" s="501"/>
      <c r="H77" s="500"/>
      <c r="I77" s="501"/>
      <c r="J77" s="500"/>
      <c r="K77" s="501"/>
      <c r="L77" s="549"/>
      <c r="M77" s="19"/>
      <c r="N77" s="497"/>
      <c r="Q77" s="118"/>
      <c r="R77" s="118"/>
      <c r="S77" s="19"/>
      <c r="T77" s="19"/>
    </row>
    <row r="78" spans="1:20" ht="20">
      <c r="A78" s="391"/>
      <c r="B78" s="498" t="s">
        <v>250</v>
      </c>
      <c r="C78" s="499"/>
      <c r="D78" s="500"/>
      <c r="E78" s="501"/>
      <c r="F78" s="500"/>
      <c r="G78" s="501"/>
      <c r="H78" s="500"/>
      <c r="I78" s="501"/>
      <c r="J78" s="500"/>
      <c r="K78" s="501"/>
      <c r="L78" s="549"/>
      <c r="M78" s="19"/>
      <c r="N78" s="551"/>
      <c r="Q78" s="118"/>
      <c r="R78" s="118"/>
      <c r="S78" s="19"/>
      <c r="T78" s="19"/>
    </row>
    <row r="79" spans="1:20" ht="18" customHeight="1">
      <c r="A79" s="391"/>
      <c r="B79" s="502"/>
      <c r="C79" s="503"/>
      <c r="D79" s="500"/>
      <c r="E79" s="501"/>
      <c r="F79" s="500"/>
      <c r="G79" s="501"/>
      <c r="H79" s="500"/>
      <c r="I79" s="501"/>
      <c r="J79" s="500"/>
      <c r="K79" s="501"/>
      <c r="L79" s="549"/>
      <c r="M79" s="19"/>
      <c r="N79" s="497"/>
      <c r="Q79" s="118"/>
      <c r="R79" s="118"/>
      <c r="S79" s="19"/>
      <c r="T79" s="19"/>
    </row>
    <row r="80" spans="1:20" ht="20">
      <c r="A80" s="391"/>
      <c r="B80" s="504" t="s">
        <v>251</v>
      </c>
      <c r="C80" s="505"/>
      <c r="D80" s="202"/>
      <c r="E80" s="506"/>
      <c r="F80" s="202"/>
      <c r="G80" s="506"/>
      <c r="H80" s="202"/>
      <c r="I80" s="506"/>
      <c r="J80" s="507"/>
      <c r="K80" s="509"/>
      <c r="L80" s="552"/>
      <c r="M80" s="19"/>
      <c r="N80" s="551"/>
      <c r="Q80" s="118"/>
      <c r="R80" s="118"/>
      <c r="S80" s="19"/>
      <c r="T80" s="19"/>
    </row>
    <row r="81" spans="1:20" ht="9.75" customHeight="1">
      <c r="A81" s="391"/>
      <c r="B81" s="507"/>
      <c r="C81" s="508"/>
      <c r="D81" s="507"/>
      <c r="E81" s="509"/>
      <c r="F81" s="510"/>
      <c r="G81" s="511"/>
      <c r="H81" s="510"/>
      <c r="I81" s="511"/>
      <c r="J81" s="507"/>
      <c r="K81" s="509"/>
      <c r="L81" s="552"/>
      <c r="M81" s="19"/>
      <c r="N81" s="19"/>
      <c r="O81" s="19"/>
      <c r="P81" s="19"/>
      <c r="Q81" s="118"/>
      <c r="R81" s="118"/>
      <c r="S81" s="19"/>
      <c r="T81" s="19"/>
    </row>
    <row r="82" spans="1:20" ht="20">
      <c r="A82" s="512"/>
      <c r="B82" s="513" t="s">
        <v>252</v>
      </c>
      <c r="C82" s="514"/>
      <c r="D82" s="515" t="s">
        <v>253</v>
      </c>
      <c r="E82" s="516"/>
      <c r="F82" s="515" t="s">
        <v>254</v>
      </c>
      <c r="G82" s="516"/>
      <c r="H82" s="515" t="s">
        <v>255</v>
      </c>
      <c r="I82" s="516"/>
      <c r="J82" s="507"/>
      <c r="K82" s="509"/>
      <c r="L82" s="552"/>
      <c r="M82" s="550"/>
      <c r="N82" s="19"/>
      <c r="O82" s="19"/>
      <c r="P82" s="19"/>
      <c r="Q82" s="550"/>
      <c r="R82" s="118"/>
      <c r="S82" s="19"/>
      <c r="T82" s="19"/>
    </row>
    <row r="83" spans="1:20" s="335" customFormat="1" ht="14.25" customHeight="1">
      <c r="A83" s="517"/>
      <c r="B83" s="509"/>
      <c r="C83" s="508"/>
      <c r="E83" s="518"/>
      <c r="F83" s="518"/>
      <c r="G83" s="519"/>
      <c r="H83" s="518"/>
      <c r="I83" s="553"/>
      <c r="J83" s="554"/>
      <c r="K83" s="555"/>
      <c r="L83" s="556"/>
      <c r="M83" s="497"/>
      <c r="N83" s="497"/>
      <c r="O83" s="557"/>
      <c r="Q83" s="497"/>
      <c r="R83" s="497"/>
    </row>
    <row r="84" spans="1:20" s="335" customFormat="1" ht="37.5" customHeight="1">
      <c r="A84" s="517"/>
      <c r="B84" s="520"/>
      <c r="C84" s="521"/>
      <c r="D84" s="522"/>
      <c r="E84" s="523"/>
      <c r="F84" s="524"/>
      <c r="G84" s="525"/>
      <c r="H84" s="522"/>
      <c r="I84" s="553"/>
      <c r="J84" s="554"/>
      <c r="K84" s="555"/>
      <c r="L84" s="556"/>
      <c r="M84" s="497"/>
      <c r="N84" s="497"/>
      <c r="O84" s="557"/>
      <c r="Q84" s="497"/>
      <c r="R84" s="497"/>
    </row>
    <row r="85" spans="1:20" s="336" customFormat="1" ht="40.5" customHeight="1">
      <c r="A85" s="526"/>
      <c r="B85" s="527" t="str">
        <f>'DATA INPUT '!C54</f>
        <v>XEROX COLOR PRINTER</v>
      </c>
      <c r="C85" s="528"/>
      <c r="D85" s="529">
        <v>401200</v>
      </c>
      <c r="E85" s="530"/>
      <c r="F85" s="531">
        <f>'DATA INPUT '!F54</f>
        <v>1</v>
      </c>
      <c r="G85" s="528"/>
      <c r="H85" s="529">
        <f t="shared" ref="H85:H94" si="3">D85*F85</f>
        <v>401200</v>
      </c>
      <c r="I85" s="558"/>
      <c r="J85" s="559"/>
      <c r="K85" s="560"/>
      <c r="L85" s="561"/>
      <c r="M85" s="562"/>
      <c r="N85" s="562"/>
      <c r="O85" s="563"/>
      <c r="Q85" s="562"/>
      <c r="R85" s="562"/>
    </row>
    <row r="86" spans="1:20" s="335" customFormat="1" ht="37.5" customHeight="1">
      <c r="A86" s="517"/>
      <c r="B86" s="527"/>
      <c r="C86" s="528"/>
      <c r="D86" s="529"/>
      <c r="E86" s="530"/>
      <c r="F86" s="531"/>
      <c r="G86" s="528"/>
      <c r="H86" s="529"/>
      <c r="I86" s="553"/>
      <c r="J86" s="554"/>
      <c r="K86" s="555"/>
      <c r="L86" s="556"/>
      <c r="M86" s="497"/>
      <c r="N86" s="497"/>
      <c r="O86" s="557"/>
      <c r="Q86" s="497"/>
      <c r="R86" s="497"/>
    </row>
    <row r="87" spans="1:20" s="336" customFormat="1" ht="39" customHeight="1">
      <c r="A87" s="526"/>
      <c r="B87" s="527" t="str">
        <f>'DATA INPUT '!C56</f>
        <v xml:space="preserve">COMPUTER SYSTEM  13-10TH  GEN </v>
      </c>
      <c r="C87" s="528"/>
      <c r="D87" s="529">
        <f>'DATA INPUT '!E56</f>
        <v>36600</v>
      </c>
      <c r="E87" s="530"/>
      <c r="F87" s="531">
        <f>'DATA INPUT '!F56</f>
        <v>3</v>
      </c>
      <c r="G87" s="528"/>
      <c r="H87" s="529">
        <f t="shared" si="3"/>
        <v>109800</v>
      </c>
      <c r="I87" s="558"/>
      <c r="J87" s="559"/>
      <c r="K87" s="560"/>
      <c r="L87" s="561"/>
      <c r="M87" s="562"/>
      <c r="N87" s="562"/>
      <c r="O87" s="563"/>
      <c r="Q87" s="562"/>
      <c r="R87" s="562"/>
    </row>
    <row r="88" spans="1:20" ht="37.5" customHeight="1">
      <c r="A88" s="512"/>
      <c r="B88" s="520" t="str">
        <f>'DATA INPUT '!C57</f>
        <v xml:space="preserve">INVERTOR 3KVA </v>
      </c>
      <c r="C88" s="521"/>
      <c r="D88" s="522">
        <f>'DATA INPUT '!E57</f>
        <v>75000</v>
      </c>
      <c r="E88" s="523"/>
      <c r="F88" s="524">
        <f>'DATA INPUT '!F57</f>
        <v>1</v>
      </c>
      <c r="G88" s="525"/>
      <c r="H88" s="522">
        <f t="shared" si="3"/>
        <v>75000</v>
      </c>
      <c r="I88" s="509"/>
      <c r="J88" s="507"/>
      <c r="K88" s="509"/>
      <c r="L88" s="552"/>
      <c r="M88" s="551"/>
      <c r="O88" s="19"/>
      <c r="P88" s="19"/>
      <c r="Q88" s="551"/>
      <c r="R88" s="118"/>
      <c r="S88" s="19"/>
      <c r="T88" s="19"/>
    </row>
    <row r="89" spans="1:20" s="335" customFormat="1" ht="31.5" customHeight="1">
      <c r="A89" s="517"/>
      <c r="B89" s="520" t="str">
        <f>'DATA INPUT '!C58</f>
        <v>GODREREJ A/C</v>
      </c>
      <c r="C89" s="521"/>
      <c r="D89" s="522">
        <f>'DATA INPUT '!E58</f>
        <v>35000</v>
      </c>
      <c r="E89" s="523"/>
      <c r="F89" s="524">
        <f>'DATA INPUT '!F58</f>
        <v>1</v>
      </c>
      <c r="G89" s="525"/>
      <c r="H89" s="522">
        <f t="shared" si="3"/>
        <v>35000</v>
      </c>
      <c r="I89" s="553"/>
      <c r="J89" s="554"/>
      <c r="K89" s="555"/>
      <c r="L89" s="556"/>
      <c r="M89" s="497"/>
      <c r="O89" s="557"/>
      <c r="Q89" s="497"/>
      <c r="R89" s="497"/>
    </row>
    <row r="90" spans="1:20" ht="31.5" customHeight="1">
      <c r="A90" s="512"/>
      <c r="B90" s="520" t="str">
        <f>'DATA INPUT '!C59</f>
        <v>LLOYD A/C</v>
      </c>
      <c r="C90" s="521"/>
      <c r="D90" s="522">
        <f>'DATA INPUT '!E59</f>
        <v>35000</v>
      </c>
      <c r="E90" s="523"/>
      <c r="F90" s="524">
        <f>'DATA INPUT '!F59</f>
        <v>1</v>
      </c>
      <c r="G90" s="525"/>
      <c r="H90" s="522">
        <f t="shared" si="3"/>
        <v>35000</v>
      </c>
      <c r="I90" s="509"/>
      <c r="J90" s="507"/>
      <c r="K90" s="509"/>
      <c r="L90" s="552"/>
      <c r="M90" s="551"/>
      <c r="O90" s="19"/>
      <c r="P90" s="19"/>
      <c r="Q90" s="551"/>
      <c r="R90" s="118"/>
      <c r="S90" s="19"/>
      <c r="T90" s="19"/>
    </row>
    <row r="91" spans="1:20" s="335" customFormat="1" ht="31.5" customHeight="1">
      <c r="A91" s="517"/>
      <c r="B91" s="520" t="str">
        <f>'DATA INPUT '!C60</f>
        <v>HALER A/C</v>
      </c>
      <c r="C91" s="521"/>
      <c r="D91" s="522">
        <f>'DATA INPUT '!E60</f>
        <v>40000</v>
      </c>
      <c r="E91" s="523"/>
      <c r="F91" s="524">
        <f>'DATA INPUT '!F60</f>
        <v>1</v>
      </c>
      <c r="G91" s="525"/>
      <c r="H91" s="522">
        <f t="shared" si="3"/>
        <v>40000</v>
      </c>
      <c r="I91" s="553"/>
      <c r="J91" s="554"/>
      <c r="K91" s="555"/>
      <c r="L91" s="556"/>
      <c r="M91" s="497"/>
      <c r="O91" s="557"/>
      <c r="Q91" s="497"/>
      <c r="R91" s="497"/>
    </row>
    <row r="92" spans="1:20" ht="53.25" customHeight="1">
      <c r="A92" s="512"/>
      <c r="B92" s="520" t="str">
        <f>'DATA INPUT '!C61</f>
        <v>COMPUTER CHAIR , TABLE Etc.</v>
      </c>
      <c r="C92" s="521"/>
      <c r="D92" s="522">
        <v>85000</v>
      </c>
      <c r="E92" s="523"/>
      <c r="F92" s="524">
        <f>'DATA INPUT '!F61</f>
        <v>1</v>
      </c>
      <c r="G92" s="525"/>
      <c r="H92" s="522">
        <f t="shared" si="3"/>
        <v>85000</v>
      </c>
      <c r="I92" s="509"/>
      <c r="J92" s="507"/>
      <c r="K92" s="509"/>
      <c r="L92" s="552"/>
      <c r="M92" s="551"/>
      <c r="O92" s="19"/>
      <c r="P92" s="19"/>
      <c r="Q92" s="551"/>
      <c r="R92" s="118"/>
      <c r="S92" s="19"/>
      <c r="T92" s="19"/>
    </row>
    <row r="93" spans="1:20" s="335" customFormat="1" ht="45.75" hidden="1" customHeight="1">
      <c r="A93" s="517"/>
      <c r="B93" s="520">
        <f>'DATA INPUT '!C62</f>
        <v>0</v>
      </c>
      <c r="C93" s="521"/>
      <c r="D93" s="522">
        <f>'DATA INPUT '!E62</f>
        <v>0</v>
      </c>
      <c r="E93" s="523"/>
      <c r="F93" s="524">
        <f>'DATA INPUT '!F62</f>
        <v>0</v>
      </c>
      <c r="G93" s="525"/>
      <c r="H93" s="522">
        <f t="shared" si="3"/>
        <v>0</v>
      </c>
      <c r="I93" s="553"/>
      <c r="J93" s="554"/>
      <c r="K93" s="555"/>
      <c r="L93" s="556"/>
      <c r="M93" s="497"/>
      <c r="O93" s="557"/>
      <c r="Q93" s="497"/>
      <c r="R93" s="497"/>
    </row>
    <row r="94" spans="1:20" ht="45" hidden="1" customHeight="1">
      <c r="A94" s="512"/>
      <c r="B94" s="520">
        <f>'DATA INPUT '!C63</f>
        <v>0</v>
      </c>
      <c r="C94" s="521"/>
      <c r="D94" s="522">
        <f>'DATA INPUT '!E63</f>
        <v>0</v>
      </c>
      <c r="E94" s="523"/>
      <c r="F94" s="524">
        <f>'DATA INPUT '!F63</f>
        <v>0</v>
      </c>
      <c r="G94" s="525"/>
      <c r="H94" s="522">
        <f t="shared" si="3"/>
        <v>0</v>
      </c>
      <c r="I94" s="509"/>
      <c r="J94" s="507"/>
      <c r="K94" s="509"/>
      <c r="L94" s="552"/>
      <c r="M94" s="551"/>
      <c r="O94" s="19"/>
      <c r="P94" s="19"/>
      <c r="Q94" s="551"/>
      <c r="R94" s="118"/>
      <c r="S94" s="19"/>
      <c r="T94" s="19"/>
    </row>
    <row r="95" spans="1:20" s="335" customFormat="1" ht="31.5" hidden="1" customHeight="1">
      <c r="A95" s="517"/>
      <c r="B95" s="520">
        <f>'DATA INPUT '!C62</f>
        <v>0</v>
      </c>
      <c r="C95" s="521"/>
      <c r="D95" s="522">
        <f>'DATA INPUT '!E62</f>
        <v>0</v>
      </c>
      <c r="E95" s="523"/>
      <c r="F95" s="524">
        <f>'DATA INPUT '!F62</f>
        <v>0</v>
      </c>
      <c r="G95" s="525"/>
      <c r="H95" s="522">
        <f t="shared" ref="H95:H108" si="4">D95*F95</f>
        <v>0</v>
      </c>
      <c r="I95" s="553"/>
      <c r="J95" s="554"/>
      <c r="K95" s="555"/>
      <c r="L95" s="556"/>
      <c r="M95" s="497"/>
      <c r="O95" s="557"/>
      <c r="Q95" s="497"/>
      <c r="R95" s="497"/>
    </row>
    <row r="96" spans="1:20" ht="33.75" hidden="1" customHeight="1">
      <c r="A96" s="512"/>
      <c r="B96" s="520">
        <f>'DATA INPUT '!C63</f>
        <v>0</v>
      </c>
      <c r="C96" s="521"/>
      <c r="D96" s="522">
        <f>'DATA INPUT '!E63</f>
        <v>0</v>
      </c>
      <c r="E96" s="523"/>
      <c r="F96" s="524">
        <f>'DATA INPUT '!F63</f>
        <v>0</v>
      </c>
      <c r="G96" s="525"/>
      <c r="H96" s="522">
        <f t="shared" si="4"/>
        <v>0</v>
      </c>
      <c r="I96" s="509"/>
      <c r="J96" s="507"/>
      <c r="K96" s="509"/>
      <c r="L96" s="552"/>
      <c r="M96" s="551"/>
      <c r="O96" s="19"/>
      <c r="P96" s="19"/>
      <c r="Q96" s="551"/>
      <c r="R96" s="118"/>
      <c r="S96" s="19"/>
      <c r="T96" s="19"/>
    </row>
    <row r="97" spans="1:20" s="335" customFormat="1" ht="53.25" hidden="1" customHeight="1">
      <c r="A97" s="517"/>
      <c r="B97" s="520">
        <f>'DATA INPUT '!C64</f>
        <v>0</v>
      </c>
      <c r="C97" s="521"/>
      <c r="D97" s="522">
        <f>'DATA INPUT '!E64</f>
        <v>0</v>
      </c>
      <c r="E97" s="523"/>
      <c r="F97" s="524">
        <f>'DATA INPUT '!F64</f>
        <v>0</v>
      </c>
      <c r="G97" s="525"/>
      <c r="H97" s="522">
        <f t="shared" si="4"/>
        <v>0</v>
      </c>
      <c r="I97" s="553"/>
      <c r="J97" s="554"/>
      <c r="K97" s="555"/>
      <c r="L97" s="556"/>
      <c r="M97" s="497"/>
      <c r="O97" s="557"/>
      <c r="Q97" s="497"/>
      <c r="R97" s="497"/>
    </row>
    <row r="98" spans="1:20" ht="48" hidden="1" customHeight="1">
      <c r="A98" s="512"/>
      <c r="B98" s="520">
        <f>'DATA INPUT '!C65</f>
        <v>0</v>
      </c>
      <c r="C98" s="521"/>
      <c r="D98" s="522">
        <f>'DATA INPUT '!E65</f>
        <v>0</v>
      </c>
      <c r="E98" s="523"/>
      <c r="F98" s="524">
        <f>'DATA INPUT '!F65</f>
        <v>0</v>
      </c>
      <c r="G98" s="525"/>
      <c r="H98" s="522">
        <f t="shared" si="4"/>
        <v>0</v>
      </c>
      <c r="I98" s="509"/>
      <c r="J98" s="507"/>
      <c r="K98" s="509"/>
      <c r="L98" s="552"/>
      <c r="M98" s="551"/>
      <c r="O98" s="19"/>
      <c r="P98" s="19"/>
      <c r="Q98" s="551"/>
      <c r="R98" s="118"/>
      <c r="S98" s="19"/>
      <c r="T98" s="19"/>
    </row>
    <row r="99" spans="1:20" s="335" customFormat="1" ht="63.75" hidden="1" customHeight="1">
      <c r="A99" s="517"/>
      <c r="B99" s="520">
        <f>'DATA INPUT '!C66</f>
        <v>0</v>
      </c>
      <c r="C99" s="521"/>
      <c r="D99" s="522">
        <f>'DATA INPUT '!E66</f>
        <v>0</v>
      </c>
      <c r="E99" s="523"/>
      <c r="F99" s="524">
        <f>'DATA INPUT '!F66</f>
        <v>0</v>
      </c>
      <c r="G99" s="525"/>
      <c r="H99" s="522">
        <f t="shared" si="4"/>
        <v>0</v>
      </c>
      <c r="I99" s="553"/>
      <c r="J99" s="554"/>
      <c r="K99" s="555"/>
      <c r="L99" s="556"/>
      <c r="M99" s="497"/>
      <c r="O99" s="557"/>
      <c r="Q99" s="497"/>
      <c r="R99" s="497"/>
    </row>
    <row r="100" spans="1:20" ht="46.5" hidden="1" customHeight="1">
      <c r="A100" s="512"/>
      <c r="B100" s="520">
        <f>'DATA INPUT '!C67</f>
        <v>0</v>
      </c>
      <c r="C100" s="521"/>
      <c r="D100" s="522">
        <f>'DATA INPUT '!E67</f>
        <v>0</v>
      </c>
      <c r="E100" s="523"/>
      <c r="F100" s="524">
        <f>'DATA INPUT '!F67</f>
        <v>0</v>
      </c>
      <c r="G100" s="525"/>
      <c r="H100" s="522">
        <f t="shared" si="4"/>
        <v>0</v>
      </c>
      <c r="I100" s="509"/>
      <c r="J100" s="507"/>
      <c r="K100" s="509"/>
      <c r="L100" s="552"/>
      <c r="M100" s="551"/>
      <c r="O100" s="19"/>
      <c r="P100" s="19"/>
      <c r="Q100" s="551"/>
      <c r="R100" s="118"/>
      <c r="S100" s="19"/>
      <c r="T100" s="19"/>
    </row>
    <row r="101" spans="1:20" s="335" customFormat="1" ht="45" hidden="1" customHeight="1">
      <c r="A101" s="517"/>
      <c r="B101" s="520">
        <f>'DATA INPUT '!C68</f>
        <v>0</v>
      </c>
      <c r="C101" s="521"/>
      <c r="D101" s="522">
        <f>'DATA INPUT '!E68</f>
        <v>0</v>
      </c>
      <c r="E101" s="523"/>
      <c r="F101" s="524">
        <f>'DATA INPUT '!F68</f>
        <v>0</v>
      </c>
      <c r="G101" s="525"/>
      <c r="H101" s="522">
        <f t="shared" si="4"/>
        <v>0</v>
      </c>
      <c r="I101" s="553"/>
      <c r="J101" s="554"/>
      <c r="K101" s="555"/>
      <c r="L101" s="556"/>
      <c r="M101" s="497"/>
      <c r="O101" s="557"/>
      <c r="Q101" s="497"/>
      <c r="R101" s="497"/>
    </row>
    <row r="102" spans="1:20" ht="39" hidden="1" customHeight="1">
      <c r="A102" s="512"/>
      <c r="B102" s="520">
        <f>'DATA INPUT '!C69</f>
        <v>0</v>
      </c>
      <c r="C102" s="521"/>
      <c r="D102" s="522">
        <f>'DATA INPUT '!E69</f>
        <v>0</v>
      </c>
      <c r="E102" s="523"/>
      <c r="F102" s="524">
        <f>'DATA INPUT '!F69</f>
        <v>0</v>
      </c>
      <c r="G102" s="525"/>
      <c r="H102" s="522">
        <f t="shared" si="4"/>
        <v>0</v>
      </c>
      <c r="I102" s="509"/>
      <c r="J102" s="507"/>
      <c r="K102" s="509"/>
      <c r="L102" s="552"/>
      <c r="M102" s="551"/>
      <c r="O102" s="19"/>
      <c r="P102" s="19"/>
      <c r="Q102" s="551"/>
      <c r="R102" s="118"/>
      <c r="S102" s="19"/>
      <c r="T102" s="19"/>
    </row>
    <row r="103" spans="1:20" s="335" customFormat="1" ht="81.75" hidden="1" customHeight="1">
      <c r="A103" s="517"/>
      <c r="B103" s="520">
        <f>'DATA INPUT '!C70</f>
        <v>0</v>
      </c>
      <c r="C103" s="521"/>
      <c r="D103" s="522">
        <f>'DATA INPUT '!E70</f>
        <v>0</v>
      </c>
      <c r="E103" s="523"/>
      <c r="F103" s="524">
        <f>'DATA INPUT '!F70</f>
        <v>0</v>
      </c>
      <c r="G103" s="525"/>
      <c r="H103" s="522">
        <f t="shared" si="4"/>
        <v>0</v>
      </c>
      <c r="I103" s="553"/>
      <c r="J103" s="554"/>
      <c r="K103" s="555"/>
      <c r="L103" s="556"/>
      <c r="M103" s="497"/>
      <c r="O103" s="557"/>
      <c r="Q103" s="497"/>
      <c r="R103" s="497"/>
    </row>
    <row r="104" spans="1:20" ht="44.25" hidden="1" customHeight="1">
      <c r="A104" s="512"/>
      <c r="B104" s="520">
        <f>'DATA INPUT '!C71</f>
        <v>0</v>
      </c>
      <c r="C104" s="521"/>
      <c r="D104" s="522">
        <f>'DATA INPUT '!E71</f>
        <v>0</v>
      </c>
      <c r="E104" s="523"/>
      <c r="F104" s="524">
        <f>'DATA INPUT '!F71</f>
        <v>0</v>
      </c>
      <c r="G104" s="525"/>
      <c r="H104" s="522">
        <f t="shared" si="4"/>
        <v>0</v>
      </c>
      <c r="I104" s="509"/>
      <c r="J104" s="507"/>
      <c r="K104" s="509"/>
      <c r="L104" s="552"/>
      <c r="M104" s="551"/>
      <c r="O104" s="19"/>
      <c r="P104" s="19"/>
      <c r="Q104" s="551"/>
      <c r="R104" s="118"/>
      <c r="S104" s="19"/>
      <c r="T104" s="19"/>
    </row>
    <row r="105" spans="1:20" s="335" customFormat="1" ht="107.25" hidden="1" customHeight="1">
      <c r="A105" s="517"/>
      <c r="B105" s="520">
        <f>'DATA INPUT '!C72</f>
        <v>0</v>
      </c>
      <c r="C105" s="521"/>
      <c r="D105" s="522">
        <f>'DATA INPUT '!E72</f>
        <v>0</v>
      </c>
      <c r="E105" s="523"/>
      <c r="F105" s="524">
        <f>'DATA INPUT '!F72</f>
        <v>0</v>
      </c>
      <c r="G105" s="525"/>
      <c r="H105" s="522">
        <f t="shared" si="4"/>
        <v>0</v>
      </c>
      <c r="I105" s="553"/>
      <c r="J105" s="554"/>
      <c r="K105" s="555"/>
      <c r="L105" s="556"/>
      <c r="M105" s="497"/>
      <c r="O105" s="557"/>
      <c r="Q105" s="497"/>
      <c r="R105" s="497"/>
    </row>
    <row r="106" spans="1:20" ht="107.25" hidden="1" customHeight="1">
      <c r="A106" s="512"/>
      <c r="B106" s="520">
        <f>'DATA INPUT '!C73</f>
        <v>0</v>
      </c>
      <c r="C106" s="521"/>
      <c r="D106" s="522">
        <f>'DATA INPUT '!E73</f>
        <v>0</v>
      </c>
      <c r="E106" s="523"/>
      <c r="F106" s="524">
        <f>'DATA INPUT '!F73</f>
        <v>0</v>
      </c>
      <c r="G106" s="525"/>
      <c r="H106" s="522">
        <f t="shared" si="4"/>
        <v>0</v>
      </c>
      <c r="I106" s="509"/>
      <c r="J106" s="507"/>
      <c r="K106" s="509"/>
      <c r="L106" s="552"/>
      <c r="M106" s="551"/>
      <c r="O106" s="19"/>
      <c r="P106" s="19"/>
      <c r="Q106" s="551"/>
      <c r="R106" s="118"/>
      <c r="S106" s="19"/>
      <c r="T106" s="19"/>
    </row>
    <row r="107" spans="1:20" s="335" customFormat="1" ht="107.25" hidden="1" customHeight="1">
      <c r="A107" s="517"/>
      <c r="B107" s="520">
        <f>'DATA INPUT '!C74</f>
        <v>0</v>
      </c>
      <c r="C107" s="521"/>
      <c r="D107" s="522">
        <f>'DATA INPUT '!E74</f>
        <v>0</v>
      </c>
      <c r="E107" s="523"/>
      <c r="F107" s="524">
        <f>'DATA INPUT '!F74</f>
        <v>0</v>
      </c>
      <c r="G107" s="525"/>
      <c r="H107" s="522">
        <f t="shared" si="4"/>
        <v>0</v>
      </c>
      <c r="I107" s="553"/>
      <c r="J107" s="554"/>
      <c r="K107" s="555"/>
      <c r="L107" s="556"/>
      <c r="M107" s="497"/>
      <c r="O107" s="557"/>
      <c r="Q107" s="497"/>
      <c r="R107" s="497"/>
    </row>
    <row r="108" spans="1:20" ht="107.25" hidden="1" customHeight="1">
      <c r="A108" s="512"/>
      <c r="B108" s="520">
        <f>'DATA INPUT '!C75</f>
        <v>0</v>
      </c>
      <c r="C108" s="521"/>
      <c r="D108" s="522">
        <f>'DATA INPUT '!E75</f>
        <v>0</v>
      </c>
      <c r="E108" s="523"/>
      <c r="F108" s="524">
        <f>'DATA INPUT '!F75</f>
        <v>0</v>
      </c>
      <c r="G108" s="525"/>
      <c r="H108" s="522">
        <f t="shared" si="4"/>
        <v>0</v>
      </c>
      <c r="I108" s="509"/>
      <c r="J108" s="507"/>
      <c r="K108" s="509"/>
      <c r="L108" s="552"/>
      <c r="M108" s="551"/>
      <c r="O108" s="19"/>
      <c r="P108" s="19"/>
      <c r="Q108" s="551"/>
      <c r="R108" s="118"/>
      <c r="S108" s="19"/>
      <c r="T108" s="19"/>
    </row>
    <row r="109" spans="1:20" s="335" customFormat="1" ht="107.25" hidden="1" customHeight="1">
      <c r="A109" s="517"/>
      <c r="B109" s="520"/>
      <c r="C109" s="532"/>
      <c r="D109" s="522"/>
      <c r="E109" s="533"/>
      <c r="F109" s="524"/>
      <c r="G109" s="523"/>
      <c r="H109" s="522"/>
      <c r="I109" s="553"/>
      <c r="J109" s="554"/>
      <c r="K109" s="555"/>
      <c r="L109" s="556"/>
      <c r="M109" s="497"/>
      <c r="O109" s="557"/>
      <c r="Q109" s="497"/>
      <c r="R109" s="497"/>
    </row>
    <row r="110" spans="1:20" ht="107.25" hidden="1" customHeight="1">
      <c r="A110" s="512"/>
      <c r="B110" s="520"/>
      <c r="C110" s="521"/>
      <c r="D110" s="522"/>
      <c r="E110" s="523"/>
      <c r="F110" s="524"/>
      <c r="G110" s="525"/>
      <c r="H110" s="522"/>
      <c r="I110" s="509"/>
      <c r="J110" s="507"/>
      <c r="K110" s="509"/>
      <c r="L110" s="552"/>
      <c r="M110" s="551"/>
      <c r="O110" s="19"/>
      <c r="P110" s="19"/>
      <c r="Q110" s="551"/>
      <c r="R110" s="118"/>
      <c r="S110" s="19"/>
      <c r="T110" s="19"/>
    </row>
    <row r="111" spans="1:20" s="335" customFormat="1" ht="107.25" hidden="1" customHeight="1">
      <c r="A111" s="517"/>
      <c r="B111" s="520"/>
      <c r="C111" s="532"/>
      <c r="D111" s="522"/>
      <c r="E111" s="533"/>
      <c r="F111" s="524"/>
      <c r="G111" s="523"/>
      <c r="H111" s="522"/>
      <c r="I111" s="553"/>
      <c r="J111" s="554"/>
      <c r="K111" s="555"/>
      <c r="L111" s="556"/>
      <c r="M111" s="497"/>
      <c r="O111" s="557"/>
      <c r="Q111" s="497"/>
      <c r="R111" s="497"/>
    </row>
    <row r="112" spans="1:20" ht="107.25" hidden="1" customHeight="1">
      <c r="A112" s="512"/>
      <c r="B112" s="520"/>
      <c r="C112" s="521"/>
      <c r="D112" s="522"/>
      <c r="E112" s="523"/>
      <c r="F112" s="524"/>
      <c r="G112" s="525"/>
      <c r="H112" s="522"/>
      <c r="I112" s="509"/>
      <c r="J112" s="507"/>
      <c r="K112" s="509"/>
      <c r="L112" s="552"/>
      <c r="M112" s="551"/>
      <c r="O112" s="19"/>
      <c r="P112" s="19"/>
      <c r="Q112" s="551"/>
      <c r="R112" s="118"/>
      <c r="S112" s="19"/>
      <c r="T112" s="19"/>
    </row>
    <row r="113" spans="1:20" s="335" customFormat="1" ht="107.25" hidden="1" customHeight="1">
      <c r="A113" s="517"/>
      <c r="B113" s="520"/>
      <c r="C113" s="532"/>
      <c r="D113" s="522"/>
      <c r="E113" s="533"/>
      <c r="F113" s="524"/>
      <c r="G113" s="523"/>
      <c r="H113" s="522"/>
      <c r="I113" s="553"/>
      <c r="J113" s="554"/>
      <c r="K113" s="555"/>
      <c r="L113" s="556"/>
      <c r="M113" s="497"/>
      <c r="O113" s="557"/>
      <c r="Q113" s="497"/>
      <c r="R113" s="497"/>
    </row>
    <row r="114" spans="1:20" ht="107.25" hidden="1" customHeight="1">
      <c r="A114" s="512"/>
      <c r="B114" s="520"/>
      <c r="C114" s="521"/>
      <c r="D114" s="522"/>
      <c r="E114" s="523"/>
      <c r="F114" s="524"/>
      <c r="G114" s="525"/>
      <c r="H114" s="522"/>
      <c r="I114" s="509"/>
      <c r="J114" s="507"/>
      <c r="K114" s="509"/>
      <c r="L114" s="552"/>
      <c r="M114" s="551"/>
      <c r="O114" s="19"/>
      <c r="P114" s="19"/>
      <c r="Q114" s="551"/>
      <c r="R114" s="118"/>
      <c r="S114" s="19"/>
      <c r="T114" s="19"/>
    </row>
    <row r="115" spans="1:20" s="335" customFormat="1" ht="107.25" hidden="1" customHeight="1">
      <c r="A115" s="517"/>
      <c r="B115" s="520"/>
      <c r="C115" s="532"/>
      <c r="D115" s="522"/>
      <c r="E115" s="533"/>
      <c r="F115" s="524"/>
      <c r="G115" s="523"/>
      <c r="H115" s="522"/>
      <c r="I115" s="553"/>
      <c r="J115" s="554"/>
      <c r="K115" s="555"/>
      <c r="L115" s="556"/>
      <c r="M115" s="497"/>
      <c r="O115" s="557"/>
      <c r="Q115" s="497"/>
      <c r="R115" s="497"/>
    </row>
    <row r="116" spans="1:20" ht="107.25" hidden="1" customHeight="1">
      <c r="A116" s="512"/>
      <c r="B116" s="520"/>
      <c r="C116" s="521"/>
      <c r="D116" s="522"/>
      <c r="E116" s="523"/>
      <c r="F116" s="524"/>
      <c r="G116" s="525"/>
      <c r="H116" s="522"/>
      <c r="I116" s="509"/>
      <c r="J116" s="507"/>
      <c r="K116" s="509"/>
      <c r="L116" s="552"/>
      <c r="M116" s="551"/>
      <c r="O116" s="19"/>
      <c r="P116" s="19"/>
      <c r="Q116" s="551"/>
      <c r="R116" s="118"/>
      <c r="S116" s="19"/>
      <c r="T116" s="19"/>
    </row>
    <row r="117" spans="1:20" s="335" customFormat="1" ht="107.25" hidden="1" customHeight="1">
      <c r="A117" s="517"/>
      <c r="B117" s="520"/>
      <c r="C117" s="532"/>
      <c r="D117" s="522"/>
      <c r="E117" s="533"/>
      <c r="F117" s="524"/>
      <c r="G117" s="523"/>
      <c r="H117" s="522"/>
      <c r="I117" s="553"/>
      <c r="J117" s="554"/>
      <c r="K117" s="555"/>
      <c r="L117" s="556"/>
      <c r="M117" s="497"/>
      <c r="O117" s="557"/>
      <c r="Q117" s="497"/>
      <c r="R117" s="497"/>
    </row>
    <row r="118" spans="1:20" ht="107.25" hidden="1" customHeight="1">
      <c r="A118" s="512"/>
      <c r="B118" s="520"/>
      <c r="C118" s="521"/>
      <c r="D118" s="522"/>
      <c r="E118" s="523"/>
      <c r="F118" s="524"/>
      <c r="G118" s="525"/>
      <c r="H118" s="522"/>
      <c r="I118" s="509"/>
      <c r="J118" s="507"/>
      <c r="K118" s="509"/>
      <c r="L118" s="552"/>
      <c r="M118" s="551"/>
      <c r="O118" s="19"/>
      <c r="P118" s="19"/>
      <c r="Q118" s="551"/>
      <c r="R118" s="118"/>
      <c r="S118" s="19"/>
      <c r="T118" s="19"/>
    </row>
    <row r="119" spans="1:20" s="335" customFormat="1" ht="107.25" hidden="1" customHeight="1">
      <c r="A119" s="517"/>
      <c r="B119" s="520"/>
      <c r="C119" s="532"/>
      <c r="D119" s="522"/>
      <c r="E119" s="533"/>
      <c r="F119" s="524"/>
      <c r="G119" s="523"/>
      <c r="H119" s="522"/>
      <c r="I119" s="553"/>
      <c r="J119" s="554"/>
      <c r="K119" s="555"/>
      <c r="L119" s="556"/>
      <c r="M119" s="497"/>
      <c r="O119" s="557"/>
      <c r="Q119" s="497"/>
      <c r="R119" s="497"/>
    </row>
    <row r="120" spans="1:20" ht="107.25" hidden="1" customHeight="1">
      <c r="A120" s="512"/>
      <c r="B120" s="520"/>
      <c r="C120" s="521"/>
      <c r="D120" s="522"/>
      <c r="E120" s="523"/>
      <c r="F120" s="524"/>
      <c r="G120" s="525"/>
      <c r="H120" s="522"/>
      <c r="I120" s="509"/>
      <c r="J120" s="507"/>
      <c r="K120" s="509"/>
      <c r="L120" s="552"/>
      <c r="M120" s="551"/>
      <c r="O120" s="19"/>
      <c r="P120" s="19"/>
      <c r="Q120" s="551"/>
      <c r="R120" s="118"/>
      <c r="S120" s="19"/>
      <c r="T120" s="19"/>
    </row>
    <row r="121" spans="1:20" s="335" customFormat="1" ht="107.25" hidden="1" customHeight="1">
      <c r="A121" s="517"/>
      <c r="B121" s="520"/>
      <c r="C121" s="532"/>
      <c r="D121" s="522"/>
      <c r="E121" s="533"/>
      <c r="F121" s="524"/>
      <c r="G121" s="523"/>
      <c r="H121" s="522"/>
      <c r="I121" s="553"/>
      <c r="J121" s="554"/>
      <c r="K121" s="555"/>
      <c r="L121" s="556"/>
      <c r="M121" s="497"/>
      <c r="O121" s="557"/>
      <c r="Q121" s="497"/>
      <c r="R121" s="497"/>
    </row>
    <row r="122" spans="1:20" ht="107.25" hidden="1" customHeight="1">
      <c r="A122" s="534"/>
      <c r="B122" s="520"/>
      <c r="C122" s="535"/>
      <c r="D122" s="522"/>
      <c r="E122" s="536"/>
      <c r="F122" s="524"/>
      <c r="G122" s="537"/>
      <c r="H122" s="522"/>
      <c r="I122" s="564"/>
      <c r="J122" s="565"/>
      <c r="K122" s="564"/>
      <c r="L122" s="566"/>
      <c r="M122" s="551"/>
      <c r="O122" s="19"/>
      <c r="P122" s="19"/>
      <c r="Q122" s="551"/>
      <c r="R122" s="118"/>
      <c r="S122" s="19"/>
      <c r="T122" s="19"/>
    </row>
    <row r="123" spans="1:20" s="335" customFormat="1" ht="107.25" hidden="1" customHeight="1">
      <c r="A123" s="538"/>
      <c r="B123" s="539"/>
      <c r="C123" s="532"/>
      <c r="D123" s="540"/>
      <c r="E123" s="533"/>
      <c r="F123" s="533"/>
      <c r="G123" s="523"/>
      <c r="H123" s="533"/>
      <c r="I123" s="553"/>
      <c r="J123" s="554"/>
      <c r="K123" s="555"/>
      <c r="M123" s="497"/>
      <c r="O123" s="557"/>
      <c r="Q123" s="497"/>
      <c r="R123" s="497"/>
    </row>
    <row r="124" spans="1:20" s="335" customFormat="1" ht="107.25" hidden="1" customHeight="1">
      <c r="A124" s="541"/>
      <c r="B124" s="542"/>
      <c r="C124" s="543"/>
      <c r="D124" s="544"/>
      <c r="E124" s="545"/>
      <c r="F124" s="545"/>
      <c r="G124" s="536"/>
      <c r="H124" s="545"/>
      <c r="I124" s="567"/>
      <c r="J124" s="568"/>
      <c r="K124" s="569"/>
      <c r="L124" s="385"/>
      <c r="M124" s="497"/>
      <c r="O124" s="557"/>
      <c r="Q124" s="497"/>
      <c r="R124" s="497"/>
    </row>
    <row r="125" spans="1:20" s="335" customFormat="1" ht="107.25" hidden="1" customHeight="1">
      <c r="A125" s="517"/>
      <c r="B125" s="539"/>
      <c r="C125" s="532"/>
      <c r="D125" s="540"/>
      <c r="E125" s="533"/>
      <c r="F125" s="533"/>
      <c r="G125" s="523"/>
      <c r="H125" s="533"/>
      <c r="I125" s="553"/>
      <c r="J125" s="554"/>
      <c r="K125" s="555"/>
      <c r="L125" s="556"/>
      <c r="M125" s="497"/>
      <c r="O125" s="557"/>
      <c r="Q125" s="497"/>
      <c r="R125" s="497"/>
    </row>
    <row r="126" spans="1:20" s="335" customFormat="1" ht="107.25" hidden="1" customHeight="1">
      <c r="A126" s="517"/>
      <c r="B126" s="539"/>
      <c r="C126" s="532"/>
      <c r="D126" s="540"/>
      <c r="E126" s="533"/>
      <c r="F126" s="533"/>
      <c r="G126" s="523"/>
      <c r="H126" s="533"/>
      <c r="I126" s="553"/>
      <c r="J126" s="554"/>
      <c r="K126" s="555"/>
      <c r="L126" s="556"/>
      <c r="M126" s="497"/>
      <c r="O126" s="557"/>
      <c r="Q126" s="497"/>
      <c r="R126" s="497"/>
    </row>
    <row r="127" spans="1:20" s="335" customFormat="1" ht="107.25" hidden="1" customHeight="1">
      <c r="A127" s="517"/>
      <c r="B127" s="539"/>
      <c r="C127" s="532"/>
      <c r="D127" s="540"/>
      <c r="E127" s="533"/>
      <c r="F127" s="533"/>
      <c r="G127" s="523"/>
      <c r="H127" s="533"/>
      <c r="I127" s="553"/>
      <c r="J127" s="554"/>
      <c r="K127" s="555"/>
      <c r="L127" s="556"/>
      <c r="M127" s="497"/>
      <c r="O127" s="557"/>
      <c r="Q127" s="497"/>
      <c r="R127" s="497"/>
    </row>
    <row r="128" spans="1:20" s="335" customFormat="1" ht="107.25" hidden="1" customHeight="1">
      <c r="A128" s="517"/>
      <c r="B128" s="539"/>
      <c r="C128" s="532"/>
      <c r="D128" s="540"/>
      <c r="E128" s="533"/>
      <c r="F128" s="533"/>
      <c r="G128" s="523"/>
      <c r="H128" s="533"/>
      <c r="I128" s="553"/>
      <c r="J128" s="554"/>
      <c r="K128" s="555"/>
      <c r="L128" s="556"/>
      <c r="M128" s="497"/>
      <c r="O128" s="557"/>
      <c r="Q128" s="497"/>
      <c r="R128" s="497"/>
    </row>
    <row r="129" spans="1:20" s="335" customFormat="1" ht="107.25" hidden="1" customHeight="1">
      <c r="A129" s="517"/>
      <c r="B129" s="539"/>
      <c r="C129" s="532"/>
      <c r="D129" s="540"/>
      <c r="E129" s="533"/>
      <c r="F129" s="533"/>
      <c r="G129" s="523"/>
      <c r="H129" s="533"/>
      <c r="I129" s="553"/>
      <c r="J129" s="554"/>
      <c r="K129" s="555"/>
      <c r="L129" s="556"/>
      <c r="M129" s="497"/>
      <c r="O129" s="557"/>
      <c r="Q129" s="497"/>
      <c r="R129" s="497"/>
    </row>
    <row r="130" spans="1:20" s="335" customFormat="1" ht="107.25" hidden="1" customHeight="1">
      <c r="A130" s="517"/>
      <c r="B130" s="539"/>
      <c r="C130" s="532"/>
      <c r="D130" s="540"/>
      <c r="E130" s="533"/>
      <c r="F130" s="533"/>
      <c r="G130" s="523"/>
      <c r="H130" s="533"/>
      <c r="I130" s="553"/>
      <c r="J130" s="554"/>
      <c r="K130" s="555"/>
      <c r="L130" s="556"/>
      <c r="M130" s="497"/>
      <c r="O130" s="557"/>
      <c r="Q130" s="497"/>
      <c r="R130" s="497"/>
    </row>
    <row r="131" spans="1:20" s="335" customFormat="1" ht="107.25" hidden="1" customHeight="1">
      <c r="A131" s="517"/>
      <c r="B131" s="539"/>
      <c r="C131" s="532"/>
      <c r="D131" s="540"/>
      <c r="E131" s="533"/>
      <c r="F131" s="533"/>
      <c r="G131" s="523"/>
      <c r="H131" s="533"/>
      <c r="I131" s="553"/>
      <c r="J131" s="554"/>
      <c r="K131" s="555"/>
      <c r="L131" s="556"/>
      <c r="M131" s="497"/>
      <c r="O131" s="557"/>
      <c r="Q131" s="497"/>
      <c r="R131" s="497"/>
    </row>
    <row r="132" spans="1:20" s="335" customFormat="1" ht="107.25" hidden="1" customHeight="1">
      <c r="A132" s="517"/>
      <c r="B132" s="539"/>
      <c r="C132" s="532"/>
      <c r="D132" s="540"/>
      <c r="E132" s="533"/>
      <c r="F132" s="533"/>
      <c r="G132" s="523"/>
      <c r="H132" s="533"/>
      <c r="I132" s="553"/>
      <c r="J132" s="554"/>
      <c r="K132" s="555"/>
      <c r="L132" s="556"/>
      <c r="M132" s="497"/>
      <c r="O132" s="557"/>
      <c r="Q132" s="497"/>
      <c r="R132" s="497"/>
    </row>
    <row r="133" spans="1:20" ht="107.25" hidden="1" customHeight="1">
      <c r="A133" s="512"/>
      <c r="B133" s="520"/>
      <c r="C133" s="521"/>
      <c r="D133" s="522"/>
      <c r="E133" s="523"/>
      <c r="F133" s="524"/>
      <c r="G133" s="525"/>
      <c r="H133" s="522"/>
      <c r="I133" s="509"/>
      <c r="J133" s="507"/>
      <c r="K133" s="509"/>
      <c r="L133" s="552"/>
      <c r="M133" s="551"/>
      <c r="O133" s="19"/>
      <c r="P133" s="19"/>
      <c r="Q133" s="551"/>
      <c r="R133" s="118"/>
      <c r="S133" s="19"/>
      <c r="T133" s="19"/>
    </row>
    <row r="134" spans="1:20" s="335" customFormat="1" ht="107.25" hidden="1" customHeight="1">
      <c r="A134" s="517"/>
      <c r="B134" s="539"/>
      <c r="C134" s="532"/>
      <c r="D134" s="540"/>
      <c r="E134" s="533"/>
      <c r="F134" s="533"/>
      <c r="G134" s="523"/>
      <c r="H134" s="533"/>
      <c r="I134" s="553"/>
      <c r="J134" s="554"/>
      <c r="K134" s="555"/>
      <c r="L134" s="556"/>
      <c r="M134" s="497"/>
      <c r="O134" s="557"/>
      <c r="Q134" s="497"/>
      <c r="R134" s="497"/>
    </row>
    <row r="135" spans="1:20" ht="107.25" hidden="1" customHeight="1">
      <c r="A135" s="512"/>
      <c r="B135" s="520"/>
      <c r="C135" s="521"/>
      <c r="D135" s="522"/>
      <c r="E135" s="523"/>
      <c r="F135" s="524"/>
      <c r="G135" s="525"/>
      <c r="H135" s="522"/>
      <c r="I135" s="509"/>
      <c r="J135" s="507"/>
      <c r="K135" s="509"/>
      <c r="L135" s="552"/>
      <c r="M135" s="551"/>
      <c r="O135" s="19"/>
      <c r="P135" s="19"/>
      <c r="Q135" s="551"/>
      <c r="R135" s="118"/>
      <c r="S135" s="19"/>
      <c r="T135" s="19"/>
    </row>
    <row r="136" spans="1:20" s="335" customFormat="1" ht="107.25" hidden="1" customHeight="1">
      <c r="A136" s="517"/>
      <c r="B136" s="539"/>
      <c r="C136" s="532"/>
      <c r="D136" s="540"/>
      <c r="E136" s="533"/>
      <c r="F136" s="533"/>
      <c r="G136" s="523"/>
      <c r="H136" s="533"/>
      <c r="I136" s="553"/>
      <c r="J136" s="554"/>
      <c r="K136" s="555"/>
      <c r="L136" s="556"/>
      <c r="M136" s="497"/>
      <c r="O136" s="557"/>
      <c r="Q136" s="497"/>
      <c r="R136" s="497"/>
    </row>
    <row r="137" spans="1:20" ht="107.25" hidden="1" customHeight="1">
      <c r="A137" s="512"/>
      <c r="B137" s="520"/>
      <c r="C137" s="521"/>
      <c r="D137" s="522"/>
      <c r="E137" s="523"/>
      <c r="F137" s="524"/>
      <c r="G137" s="525"/>
      <c r="H137" s="522"/>
      <c r="I137" s="509"/>
      <c r="J137" s="507"/>
      <c r="K137" s="509"/>
      <c r="L137" s="552"/>
      <c r="M137" s="551"/>
      <c r="O137" s="19"/>
      <c r="P137" s="19"/>
      <c r="Q137" s="551"/>
      <c r="R137" s="118"/>
      <c r="S137" s="19"/>
      <c r="T137" s="19"/>
    </row>
    <row r="138" spans="1:20" s="335" customFormat="1" ht="107.25" hidden="1" customHeight="1">
      <c r="A138" s="517"/>
      <c r="B138" s="539"/>
      <c r="C138" s="532"/>
      <c r="D138" s="540"/>
      <c r="E138" s="533"/>
      <c r="F138" s="533"/>
      <c r="G138" s="523"/>
      <c r="H138" s="533"/>
      <c r="I138" s="553"/>
      <c r="J138" s="554"/>
      <c r="K138" s="555"/>
      <c r="L138" s="556"/>
      <c r="M138" s="497"/>
      <c r="O138" s="557"/>
      <c r="Q138" s="497"/>
      <c r="R138" s="497"/>
    </row>
    <row r="139" spans="1:20" ht="107.25" hidden="1" customHeight="1">
      <c r="A139" s="512"/>
      <c r="B139" s="520"/>
      <c r="C139" s="521"/>
      <c r="D139" s="522"/>
      <c r="E139" s="523"/>
      <c r="F139" s="524"/>
      <c r="G139" s="525"/>
      <c r="H139" s="522"/>
      <c r="I139" s="509"/>
      <c r="J139" s="507"/>
      <c r="K139" s="509"/>
      <c r="L139" s="552"/>
      <c r="M139" s="551"/>
      <c r="O139" s="19"/>
      <c r="P139" s="19"/>
      <c r="Q139" s="551"/>
      <c r="R139" s="118"/>
      <c r="S139" s="19"/>
      <c r="T139" s="19"/>
    </row>
    <row r="140" spans="1:20" s="335" customFormat="1" ht="107.25" hidden="1" customHeight="1">
      <c r="A140" s="517"/>
      <c r="B140" s="539"/>
      <c r="C140" s="532"/>
      <c r="D140" s="540"/>
      <c r="E140" s="533"/>
      <c r="F140" s="533"/>
      <c r="G140" s="523"/>
      <c r="H140" s="533"/>
      <c r="I140" s="553"/>
      <c r="J140" s="554"/>
      <c r="K140" s="555"/>
      <c r="L140" s="556"/>
      <c r="M140" s="497"/>
      <c r="O140" s="557"/>
      <c r="Q140" s="497"/>
      <c r="R140" s="497"/>
    </row>
    <row r="141" spans="1:20" ht="107.25" hidden="1" customHeight="1">
      <c r="A141" s="512"/>
      <c r="B141" s="520"/>
      <c r="C141" s="521"/>
      <c r="D141" s="522"/>
      <c r="E141" s="523"/>
      <c r="F141" s="524"/>
      <c r="G141" s="525"/>
      <c r="H141" s="522"/>
      <c r="I141" s="509"/>
      <c r="J141" s="507"/>
      <c r="K141" s="509"/>
      <c r="L141" s="552"/>
      <c r="M141" s="551"/>
      <c r="O141" s="19"/>
      <c r="P141" s="19"/>
      <c r="Q141" s="551"/>
      <c r="R141" s="118"/>
      <c r="S141" s="19"/>
      <c r="T141" s="19"/>
    </row>
    <row r="142" spans="1:20" s="335" customFormat="1" ht="107.25" hidden="1" customHeight="1">
      <c r="A142" s="517"/>
      <c r="B142" s="539"/>
      <c r="C142" s="532"/>
      <c r="D142" s="540"/>
      <c r="E142" s="533"/>
      <c r="F142" s="533"/>
      <c r="G142" s="523"/>
      <c r="H142" s="533"/>
      <c r="I142" s="553"/>
      <c r="J142" s="554"/>
      <c r="K142" s="555"/>
      <c r="L142" s="556"/>
      <c r="M142" s="497"/>
      <c r="O142" s="557"/>
      <c r="Q142" s="497"/>
      <c r="R142" s="497"/>
    </row>
    <row r="143" spans="1:20" ht="107.25" hidden="1" customHeight="1">
      <c r="A143" s="512"/>
      <c r="B143" s="520"/>
      <c r="C143" s="521"/>
      <c r="D143" s="522"/>
      <c r="E143" s="523"/>
      <c r="F143" s="524"/>
      <c r="G143" s="525"/>
      <c r="H143" s="522"/>
      <c r="I143" s="509"/>
      <c r="J143" s="507"/>
      <c r="K143" s="509"/>
      <c r="L143" s="552"/>
      <c r="M143" s="551"/>
      <c r="O143" s="19"/>
      <c r="P143" s="19"/>
      <c r="Q143" s="551"/>
      <c r="R143" s="118"/>
      <c r="S143" s="19"/>
      <c r="T143" s="19"/>
    </row>
    <row r="144" spans="1:20" s="335" customFormat="1" ht="107.25" hidden="1" customHeight="1">
      <c r="A144" s="517"/>
      <c r="B144" s="539"/>
      <c r="C144" s="532"/>
      <c r="D144" s="540"/>
      <c r="E144" s="533"/>
      <c r="F144" s="533"/>
      <c r="G144" s="523"/>
      <c r="H144" s="533"/>
      <c r="I144" s="553"/>
      <c r="J144" s="554"/>
      <c r="K144" s="555"/>
      <c r="L144" s="556"/>
      <c r="M144" s="497"/>
      <c r="O144" s="557"/>
      <c r="Q144" s="497"/>
      <c r="R144" s="497"/>
    </row>
    <row r="145" spans="1:20" ht="107.25" hidden="1" customHeight="1">
      <c r="A145" s="512"/>
      <c r="B145" s="520"/>
      <c r="C145" s="521"/>
      <c r="D145" s="522"/>
      <c r="E145" s="523"/>
      <c r="F145" s="524"/>
      <c r="G145" s="525"/>
      <c r="H145" s="522"/>
      <c r="I145" s="509"/>
      <c r="J145" s="507"/>
      <c r="K145" s="509"/>
      <c r="L145" s="552"/>
      <c r="M145" s="551"/>
      <c r="O145" s="19"/>
      <c r="P145" s="19"/>
      <c r="Q145" s="551"/>
      <c r="R145" s="118"/>
      <c r="S145" s="19"/>
      <c r="T145" s="19"/>
    </row>
    <row r="146" spans="1:20" s="335" customFormat="1" ht="107.25" hidden="1" customHeight="1">
      <c r="A146" s="517"/>
      <c r="B146" s="539"/>
      <c r="C146" s="532"/>
      <c r="D146" s="540"/>
      <c r="E146" s="533"/>
      <c r="F146" s="533"/>
      <c r="G146" s="523"/>
      <c r="H146" s="533"/>
      <c r="I146" s="553"/>
      <c r="J146" s="554"/>
      <c r="K146" s="555"/>
      <c r="L146" s="556"/>
      <c r="M146" s="497"/>
      <c r="O146" s="557"/>
      <c r="Q146" s="497"/>
      <c r="R146" s="497"/>
    </row>
    <row r="147" spans="1:20" ht="107.25" hidden="1" customHeight="1">
      <c r="A147" s="512"/>
      <c r="B147" s="520"/>
      <c r="C147" s="521"/>
      <c r="D147" s="522"/>
      <c r="E147" s="523"/>
      <c r="F147" s="524"/>
      <c r="G147" s="525"/>
      <c r="H147" s="522"/>
      <c r="I147" s="509"/>
      <c r="J147" s="507"/>
      <c r="K147" s="509"/>
      <c r="L147" s="552"/>
      <c r="M147" s="551"/>
      <c r="O147" s="19"/>
      <c r="P147" s="19"/>
      <c r="Q147" s="551"/>
      <c r="R147" s="118"/>
      <c r="S147" s="19"/>
      <c r="T147" s="19"/>
    </row>
    <row r="148" spans="1:20" s="335" customFormat="1" ht="107.25" hidden="1" customHeight="1">
      <c r="A148" s="517"/>
      <c r="B148" s="539"/>
      <c r="C148" s="532"/>
      <c r="D148" s="540"/>
      <c r="E148" s="533"/>
      <c r="F148" s="533"/>
      <c r="G148" s="523"/>
      <c r="H148" s="533"/>
      <c r="I148" s="553"/>
      <c r="J148" s="554"/>
      <c r="K148" s="555"/>
      <c r="L148" s="556"/>
      <c r="M148" s="497"/>
      <c r="O148" s="557"/>
      <c r="Q148" s="497"/>
      <c r="R148" s="497"/>
    </row>
    <row r="149" spans="1:20" ht="107.25" hidden="1" customHeight="1">
      <c r="A149" s="391"/>
      <c r="B149" s="520"/>
      <c r="C149" s="521"/>
      <c r="D149" s="522"/>
      <c r="E149" s="523"/>
      <c r="F149" s="524"/>
      <c r="G149" s="525"/>
      <c r="H149" s="522"/>
      <c r="I149" s="509"/>
      <c r="J149" s="507"/>
      <c r="K149" s="509"/>
      <c r="L149" s="552"/>
      <c r="M149" s="551"/>
      <c r="N149" s="551"/>
      <c r="P149" s="551"/>
      <c r="Q149" s="551"/>
      <c r="R149" s="118"/>
      <c r="S149" s="19"/>
      <c r="T149" s="19"/>
    </row>
    <row r="150" spans="1:20" s="335" customFormat="1" ht="107.25" hidden="1" customHeight="1">
      <c r="A150" s="517"/>
      <c r="B150" s="539"/>
      <c r="C150" s="532"/>
      <c r="D150" s="540"/>
      <c r="E150" s="533"/>
      <c r="F150" s="533"/>
      <c r="G150" s="523"/>
      <c r="H150" s="533"/>
      <c r="I150" s="553"/>
      <c r="J150" s="554"/>
      <c r="K150" s="555"/>
      <c r="L150" s="556"/>
      <c r="M150" s="497"/>
      <c r="N150" s="497"/>
      <c r="O150" s="557"/>
      <c r="Q150" s="497"/>
      <c r="R150" s="497"/>
    </row>
    <row r="151" spans="1:20" ht="107.25" hidden="1" customHeight="1">
      <c r="A151" s="512"/>
      <c r="B151" s="520"/>
      <c r="C151" s="521"/>
      <c r="D151" s="522"/>
      <c r="E151" s="523"/>
      <c r="F151" s="524"/>
      <c r="G151" s="525"/>
      <c r="H151" s="522"/>
      <c r="I151" s="509"/>
      <c r="J151" s="507"/>
      <c r="K151" s="509"/>
      <c r="L151" s="552"/>
      <c r="M151" s="551"/>
      <c r="O151" s="19"/>
      <c r="P151" s="19"/>
      <c r="Q151" s="551"/>
      <c r="R151" s="118"/>
      <c r="S151" s="19"/>
      <c r="T151" s="19"/>
    </row>
    <row r="152" spans="1:20" s="335" customFormat="1" ht="107.25" hidden="1" customHeight="1">
      <c r="A152" s="517"/>
      <c r="B152" s="539"/>
      <c r="C152" s="532"/>
      <c r="D152" s="540"/>
      <c r="E152" s="533"/>
      <c r="F152" s="533"/>
      <c r="G152" s="523"/>
      <c r="H152" s="533"/>
      <c r="I152" s="553"/>
      <c r="J152" s="554"/>
      <c r="K152" s="555"/>
      <c r="L152" s="556"/>
      <c r="M152" s="497"/>
      <c r="O152" s="557"/>
      <c r="Q152" s="497"/>
      <c r="R152" s="497"/>
    </row>
    <row r="153" spans="1:20" ht="107.25" hidden="1" customHeight="1">
      <c r="A153" s="512"/>
      <c r="B153" s="520"/>
      <c r="C153" s="521"/>
      <c r="D153" s="522"/>
      <c r="E153" s="523"/>
      <c r="F153" s="524"/>
      <c r="G153" s="525"/>
      <c r="H153" s="522"/>
      <c r="I153" s="509"/>
      <c r="J153" s="507"/>
      <c r="K153" s="509"/>
      <c r="L153" s="552"/>
      <c r="M153" s="551"/>
      <c r="O153" s="19"/>
      <c r="P153" s="19"/>
      <c r="Q153" s="551"/>
      <c r="R153" s="118"/>
      <c r="S153" s="19"/>
      <c r="T153" s="19"/>
    </row>
    <row r="154" spans="1:20" s="335" customFormat="1" ht="107.25" hidden="1" customHeight="1">
      <c r="A154" s="517"/>
      <c r="B154" s="539"/>
      <c r="C154" s="532"/>
      <c r="D154" s="540"/>
      <c r="E154" s="533"/>
      <c r="F154" s="533"/>
      <c r="G154" s="523"/>
      <c r="H154" s="533"/>
      <c r="I154" s="553"/>
      <c r="J154" s="554"/>
      <c r="K154" s="555"/>
      <c r="L154" s="556"/>
      <c r="M154" s="497"/>
      <c r="O154" s="557"/>
      <c r="Q154" s="497"/>
      <c r="R154" s="497"/>
    </row>
    <row r="155" spans="1:20" ht="107.25" hidden="1" customHeight="1">
      <c r="A155" s="512"/>
      <c r="B155" s="520"/>
      <c r="C155" s="521"/>
      <c r="D155" s="570"/>
      <c r="E155" s="523"/>
      <c r="F155" s="524"/>
      <c r="G155" s="525"/>
      <c r="H155" s="570"/>
      <c r="I155" s="509"/>
      <c r="J155" s="507"/>
      <c r="K155" s="509"/>
      <c r="L155" s="552"/>
      <c r="M155" s="551"/>
      <c r="O155" s="19"/>
      <c r="P155" s="19"/>
      <c r="Q155" s="551"/>
      <c r="R155" s="118"/>
      <c r="S155" s="19"/>
      <c r="T155" s="19"/>
    </row>
    <row r="156" spans="1:20" s="335" customFormat="1" ht="107.25" hidden="1" customHeight="1">
      <c r="A156" s="517"/>
      <c r="B156" s="539"/>
      <c r="C156" s="532"/>
      <c r="D156" s="540"/>
      <c r="E156" s="533"/>
      <c r="F156" s="533"/>
      <c r="G156" s="523"/>
      <c r="H156" s="533"/>
      <c r="I156" s="553"/>
      <c r="J156" s="554"/>
      <c r="K156" s="555"/>
      <c r="L156" s="556"/>
      <c r="M156" s="497"/>
      <c r="O156" s="557"/>
      <c r="Q156" s="497"/>
      <c r="R156" s="497"/>
    </row>
    <row r="157" spans="1:20" ht="107.25" hidden="1" customHeight="1">
      <c r="A157" s="391"/>
      <c r="B157" s="520"/>
      <c r="C157" s="521"/>
      <c r="D157" s="522"/>
      <c r="E157" s="523"/>
      <c r="F157" s="524"/>
      <c r="G157" s="525"/>
      <c r="H157" s="522"/>
      <c r="I157" s="509"/>
      <c r="J157" s="507"/>
      <c r="K157" s="509"/>
      <c r="L157" s="552"/>
      <c r="M157" s="551"/>
      <c r="N157" s="551"/>
      <c r="P157" s="551"/>
      <c r="Q157" s="551"/>
      <c r="R157" s="118"/>
      <c r="S157" s="19"/>
      <c r="T157" s="19"/>
    </row>
    <row r="158" spans="1:20" s="335" customFormat="1" ht="107.25" hidden="1" customHeight="1">
      <c r="A158" s="517"/>
      <c r="B158" s="539"/>
      <c r="C158" s="532"/>
      <c r="D158" s="540"/>
      <c r="E158" s="533"/>
      <c r="F158" s="533"/>
      <c r="G158" s="523"/>
      <c r="H158" s="533"/>
      <c r="I158" s="553"/>
      <c r="J158" s="554"/>
      <c r="K158" s="555"/>
      <c r="L158" s="556"/>
      <c r="M158" s="497"/>
      <c r="N158" s="497"/>
      <c r="O158" s="557"/>
      <c r="Q158" s="497"/>
      <c r="R158" s="497"/>
    </row>
    <row r="159" spans="1:20" ht="107.25" hidden="1" customHeight="1">
      <c r="A159" s="391"/>
      <c r="B159" s="520"/>
      <c r="C159" s="521"/>
      <c r="D159" s="522"/>
      <c r="E159" s="523"/>
      <c r="F159" s="571"/>
      <c r="G159" s="525"/>
      <c r="H159" s="522"/>
      <c r="I159" s="509"/>
      <c r="J159" s="507"/>
      <c r="K159" s="509"/>
      <c r="L159" s="552"/>
      <c r="M159" s="551"/>
      <c r="N159" s="551"/>
      <c r="P159" s="551"/>
      <c r="Q159" s="551"/>
      <c r="R159" s="118"/>
      <c r="S159" s="19"/>
      <c r="T159" s="19"/>
    </row>
    <row r="160" spans="1:20" s="335" customFormat="1" ht="107.25" hidden="1" customHeight="1">
      <c r="A160" s="517"/>
      <c r="B160" s="539"/>
      <c r="C160" s="532"/>
      <c r="D160" s="540"/>
      <c r="E160" s="533"/>
      <c r="F160" s="533"/>
      <c r="G160" s="523"/>
      <c r="H160" s="533"/>
      <c r="I160" s="553"/>
      <c r="J160" s="554"/>
      <c r="K160" s="555"/>
      <c r="L160" s="556"/>
      <c r="M160" s="497"/>
      <c r="N160" s="497"/>
      <c r="O160" s="557"/>
      <c r="Q160" s="497"/>
      <c r="R160" s="497"/>
    </row>
    <row r="161" spans="1:20" s="335" customFormat="1" ht="107.25" hidden="1" customHeight="1">
      <c r="A161" s="517"/>
      <c r="B161" s="572"/>
      <c r="C161" s="532"/>
      <c r="D161" s="573"/>
      <c r="E161" s="533"/>
      <c r="F161" s="570"/>
      <c r="G161" s="523"/>
      <c r="H161" s="570"/>
      <c r="I161" s="553"/>
      <c r="J161" s="554"/>
      <c r="K161" s="555"/>
      <c r="L161" s="556"/>
      <c r="M161" s="497"/>
      <c r="N161" s="497"/>
      <c r="O161" s="557"/>
      <c r="Q161" s="497"/>
      <c r="R161" s="497"/>
    </row>
    <row r="162" spans="1:20" s="335" customFormat="1" ht="107.25" hidden="1" customHeight="1">
      <c r="A162" s="517"/>
      <c r="B162" s="539"/>
      <c r="C162" s="532"/>
      <c r="D162" s="540"/>
      <c r="E162" s="533"/>
      <c r="F162" s="533"/>
      <c r="G162" s="523"/>
      <c r="H162" s="533"/>
      <c r="I162" s="553"/>
      <c r="J162" s="554"/>
      <c r="K162" s="555"/>
      <c r="L162" s="556"/>
      <c r="M162" s="497"/>
      <c r="N162" s="497"/>
      <c r="O162" s="557"/>
      <c r="Q162" s="497"/>
      <c r="R162" s="497"/>
    </row>
    <row r="163" spans="1:20" s="335" customFormat="1" ht="107.25" hidden="1" customHeight="1">
      <c r="A163" s="517"/>
      <c r="B163" s="523"/>
      <c r="C163" s="532"/>
      <c r="D163" s="540"/>
      <c r="E163" s="533"/>
      <c r="F163" s="533"/>
      <c r="G163" s="523"/>
      <c r="H163" s="533"/>
      <c r="I163" s="553"/>
      <c r="J163" s="554"/>
      <c r="K163" s="555"/>
      <c r="L163" s="556"/>
      <c r="M163" s="497"/>
      <c r="N163" s="497"/>
      <c r="O163" s="557"/>
      <c r="Q163" s="497"/>
      <c r="R163" s="497"/>
    </row>
    <row r="164" spans="1:20" s="335" customFormat="1" ht="9.75" customHeight="1">
      <c r="A164" s="517"/>
      <c r="B164" s="523"/>
      <c r="C164" s="532"/>
      <c r="D164" s="540"/>
      <c r="E164" s="533"/>
      <c r="F164" s="533"/>
      <c r="G164" s="523"/>
      <c r="H164" s="533"/>
      <c r="I164" s="553"/>
      <c r="J164" s="554"/>
      <c r="K164" s="555"/>
      <c r="L164" s="556"/>
      <c r="M164" s="497"/>
      <c r="N164" s="497"/>
      <c r="O164" s="557"/>
      <c r="Q164" s="497"/>
      <c r="R164" s="497"/>
    </row>
    <row r="165" spans="1:20" ht="27" customHeight="1">
      <c r="A165" s="512"/>
      <c r="B165" s="574" t="s">
        <v>256</v>
      </c>
      <c r="C165" s="575"/>
      <c r="D165" s="576"/>
      <c r="E165" s="576"/>
      <c r="F165" s="577"/>
      <c r="G165" s="578"/>
      <c r="H165" s="577">
        <f>SUM(H84:H92)</f>
        <v>781000</v>
      </c>
      <c r="I165" s="578"/>
      <c r="J165" s="202"/>
      <c r="K165" s="506"/>
      <c r="L165" s="552"/>
      <c r="M165" s="551"/>
      <c r="N165" s="551"/>
      <c r="P165" s="551"/>
      <c r="Q165" s="551"/>
      <c r="R165" s="118"/>
      <c r="S165" s="19"/>
      <c r="T165" s="19"/>
    </row>
    <row r="166" spans="1:20" s="335" customFormat="1" ht="30.75" customHeight="1">
      <c r="A166" s="391"/>
      <c r="B166" s="523"/>
      <c r="C166" s="532"/>
      <c r="D166" s="540"/>
      <c r="E166" s="533"/>
      <c r="F166" s="533"/>
      <c r="G166" s="523"/>
      <c r="H166" s="533"/>
      <c r="I166" s="553"/>
      <c r="J166" s="554"/>
      <c r="K166" s="555"/>
      <c r="L166" s="556"/>
      <c r="M166" s="497"/>
      <c r="N166" s="497"/>
      <c r="O166" s="557"/>
      <c r="Q166" s="497"/>
      <c r="R166" s="497"/>
    </row>
    <row r="167" spans="1:20" ht="24.75" customHeight="1">
      <c r="A167" s="391"/>
      <c r="B167" s="507"/>
      <c r="C167" s="508"/>
      <c r="D167" s="579" t="s">
        <v>257</v>
      </c>
      <c r="E167" s="580"/>
      <c r="F167" s="579" t="s">
        <v>258</v>
      </c>
      <c r="G167" s="580"/>
      <c r="H167" s="581">
        <f>SUM(H165:H165)</f>
        <v>781000</v>
      </c>
      <c r="I167" s="582"/>
      <c r="J167" s="580"/>
      <c r="K167" s="579"/>
      <c r="L167" s="583">
        <f>L76+H167</f>
        <v>781000</v>
      </c>
      <c r="M167" s="551"/>
      <c r="N167" s="551"/>
      <c r="P167" s="551"/>
    </row>
    <row r="168" spans="1:20" ht="32.25" hidden="1" customHeight="1">
      <c r="A168" s="391"/>
      <c r="B168" s="19"/>
      <c r="C168" s="496"/>
      <c r="D168" s="19"/>
      <c r="E168" s="497"/>
      <c r="F168" s="19"/>
      <c r="G168" s="497"/>
      <c r="H168" s="19"/>
      <c r="I168" s="497"/>
      <c r="L168" s="476"/>
      <c r="N168" s="551"/>
      <c r="P168" s="551"/>
    </row>
    <row r="169" spans="1:20" ht="27.75" hidden="1" customHeight="1">
      <c r="A169" s="391"/>
      <c r="B169" s="19"/>
      <c r="C169" s="496"/>
      <c r="D169" s="19"/>
      <c r="E169" s="497"/>
      <c r="F169" s="19"/>
      <c r="G169" s="497"/>
      <c r="H169" s="19"/>
      <c r="I169" s="497"/>
      <c r="L169" s="476"/>
      <c r="N169" s="551"/>
      <c r="P169" s="551"/>
    </row>
    <row r="170" spans="1:20" ht="15.5" hidden="1">
      <c r="A170" s="391"/>
      <c r="B170" s="19"/>
      <c r="C170" s="496"/>
      <c r="D170" s="19"/>
      <c r="E170" s="497"/>
      <c r="F170" s="19"/>
      <c r="G170" s="497"/>
      <c r="H170" s="19"/>
      <c r="I170" s="497"/>
      <c r="L170" s="476"/>
      <c r="N170" s="551"/>
      <c r="O170" s="551"/>
      <c r="P170" s="551"/>
    </row>
    <row r="171" spans="1:20" ht="15.5" hidden="1">
      <c r="A171" s="391"/>
      <c r="B171" s="19"/>
      <c r="C171" s="496"/>
      <c r="D171" s="19"/>
      <c r="E171" s="497"/>
      <c r="F171" s="19"/>
      <c r="G171" s="497"/>
      <c r="H171" s="19"/>
      <c r="I171" s="497"/>
      <c r="L171" s="476"/>
    </row>
    <row r="172" spans="1:20" ht="15.5" hidden="1">
      <c r="A172" s="391"/>
      <c r="B172" s="19"/>
      <c r="C172" s="496"/>
      <c r="D172" s="19"/>
      <c r="E172" s="497"/>
      <c r="F172" s="19"/>
      <c r="G172" s="497"/>
      <c r="H172" s="19"/>
      <c r="I172" s="497"/>
      <c r="L172" s="476"/>
    </row>
    <row r="173" spans="1:20" ht="15.5" hidden="1">
      <c r="A173" s="391"/>
      <c r="B173" s="19"/>
      <c r="C173" s="496"/>
      <c r="D173" s="19"/>
      <c r="E173" s="497"/>
      <c r="F173" s="19"/>
      <c r="G173" s="497"/>
      <c r="H173" s="19"/>
      <c r="I173" s="497"/>
      <c r="L173" s="476"/>
    </row>
    <row r="174" spans="1:20" ht="15.5" hidden="1">
      <c r="A174" s="391"/>
      <c r="B174" s="19"/>
      <c r="C174" s="496"/>
      <c r="D174" s="19"/>
      <c r="E174" s="497"/>
      <c r="F174" s="19"/>
      <c r="G174" s="497"/>
      <c r="H174" s="19"/>
      <c r="I174" s="497"/>
      <c r="L174" s="476"/>
    </row>
    <row r="175" spans="1:20" ht="15.5" hidden="1">
      <c r="A175" s="391"/>
      <c r="B175" s="19"/>
      <c r="C175" s="496"/>
      <c r="D175" s="19"/>
      <c r="E175" s="497"/>
      <c r="F175" s="19"/>
      <c r="G175" s="497"/>
      <c r="H175" s="19"/>
      <c r="I175" s="497"/>
      <c r="L175" s="476"/>
    </row>
    <row r="176" spans="1:20" ht="15.5" hidden="1">
      <c r="A176" s="391"/>
      <c r="B176" s="19"/>
      <c r="C176" s="496"/>
      <c r="D176" s="19"/>
      <c r="E176" s="497"/>
      <c r="F176" s="19"/>
      <c r="G176" s="497"/>
      <c r="H176" s="19"/>
      <c r="I176" s="497"/>
      <c r="L176" s="476"/>
    </row>
    <row r="177" spans="1:12" ht="15.5" hidden="1">
      <c r="A177" s="391"/>
      <c r="B177" s="19"/>
      <c r="C177" s="496"/>
      <c r="D177" s="19"/>
      <c r="E177" s="497"/>
      <c r="F177" s="19"/>
      <c r="G177" s="497"/>
      <c r="H177" s="19"/>
      <c r="I177" s="497"/>
      <c r="L177" s="476"/>
    </row>
    <row r="178" spans="1:12" ht="15.5" hidden="1">
      <c r="A178" s="391"/>
      <c r="B178" s="19"/>
      <c r="C178" s="496"/>
      <c r="D178" s="19"/>
      <c r="E178" s="497"/>
      <c r="F178" s="19"/>
      <c r="G178" s="497"/>
      <c r="H178" s="19"/>
      <c r="I178" s="497"/>
      <c r="L178" s="476"/>
    </row>
    <row r="179" spans="1:12" ht="15.5" hidden="1">
      <c r="A179" s="391"/>
      <c r="B179" s="19"/>
      <c r="C179" s="496"/>
      <c r="D179" s="19"/>
      <c r="E179" s="497"/>
      <c r="F179" s="19"/>
      <c r="G179" s="497"/>
      <c r="H179" s="19"/>
      <c r="I179" s="497"/>
      <c r="L179" s="476"/>
    </row>
    <row r="180" spans="1:12" ht="15.5" hidden="1">
      <c r="A180" s="391"/>
      <c r="B180" s="19"/>
      <c r="C180" s="496"/>
      <c r="D180" s="19"/>
      <c r="E180" s="497"/>
      <c r="F180" s="19"/>
      <c r="G180" s="497"/>
      <c r="H180" s="19"/>
      <c r="I180" s="497"/>
      <c r="L180" s="476"/>
    </row>
    <row r="181" spans="1:12" ht="15.5" hidden="1">
      <c r="A181" s="391"/>
      <c r="B181" s="19"/>
      <c r="C181" s="496"/>
      <c r="D181" s="19"/>
      <c r="E181" s="497"/>
      <c r="F181" s="19"/>
      <c r="G181" s="497"/>
      <c r="H181" s="19"/>
      <c r="I181" s="497"/>
      <c r="L181" s="476"/>
    </row>
    <row r="182" spans="1:12" ht="15.5" hidden="1">
      <c r="A182" s="391"/>
      <c r="B182" s="19"/>
      <c r="C182" s="496"/>
      <c r="D182" s="19"/>
      <c r="E182" s="497"/>
      <c r="F182" s="19"/>
      <c r="G182" s="497"/>
      <c r="H182" s="19"/>
      <c r="I182" s="497"/>
      <c r="L182" s="476"/>
    </row>
    <row r="183" spans="1:12" ht="15.5" hidden="1">
      <c r="A183" s="391"/>
      <c r="B183" s="19"/>
      <c r="C183" s="496"/>
      <c r="D183" s="19"/>
      <c r="E183" s="497"/>
      <c r="F183" s="19"/>
      <c r="G183" s="497"/>
      <c r="H183" s="19"/>
      <c r="I183" s="497"/>
      <c r="L183" s="476"/>
    </row>
    <row r="184" spans="1:12" ht="15.5" hidden="1">
      <c r="A184" s="391"/>
      <c r="B184" s="19"/>
      <c r="C184" s="496"/>
      <c r="D184" s="19"/>
      <c r="E184" s="497"/>
      <c r="F184" s="19"/>
      <c r="G184" s="497"/>
      <c r="H184" s="19"/>
      <c r="I184" s="497"/>
      <c r="L184" s="476"/>
    </row>
    <row r="185" spans="1:12" ht="15.5" hidden="1">
      <c r="A185" s="391"/>
      <c r="B185" s="19"/>
      <c r="C185" s="496"/>
      <c r="D185" s="19"/>
      <c r="E185" s="497"/>
      <c r="F185" s="19"/>
      <c r="G185" s="497"/>
      <c r="H185" s="19"/>
      <c r="I185" s="497"/>
      <c r="L185" s="476"/>
    </row>
    <row r="186" spans="1:12" ht="15.5" hidden="1">
      <c r="A186" s="391"/>
      <c r="B186" s="19"/>
      <c r="C186" s="496"/>
      <c r="D186" s="19"/>
      <c r="E186" s="497"/>
      <c r="F186" s="19"/>
      <c r="G186" s="497"/>
      <c r="H186" s="19"/>
      <c r="I186" s="497"/>
      <c r="L186" s="476"/>
    </row>
    <row r="187" spans="1:12" ht="15.5" hidden="1">
      <c r="A187" s="391"/>
      <c r="B187" s="19"/>
      <c r="C187" s="496"/>
      <c r="D187" s="19"/>
      <c r="E187" s="497"/>
      <c r="F187" s="19"/>
      <c r="G187" s="497"/>
      <c r="H187" s="19"/>
      <c r="I187" s="497"/>
      <c r="L187" s="476"/>
    </row>
    <row r="188" spans="1:12" ht="15.5" hidden="1">
      <c r="A188" s="391"/>
      <c r="B188" s="19"/>
      <c r="C188" s="496"/>
      <c r="D188" s="19"/>
      <c r="E188" s="497"/>
      <c r="F188" s="19"/>
      <c r="G188" s="497"/>
      <c r="H188" s="19"/>
      <c r="I188" s="497"/>
      <c r="L188" s="476"/>
    </row>
    <row r="189" spans="1:12" ht="15.5" hidden="1">
      <c r="A189" s="391"/>
      <c r="B189" s="19"/>
      <c r="C189" s="496"/>
      <c r="D189" s="19"/>
      <c r="E189" s="497"/>
      <c r="F189" s="19"/>
      <c r="G189" s="497"/>
      <c r="H189" s="19"/>
      <c r="I189" s="497"/>
      <c r="L189" s="476"/>
    </row>
    <row r="190" spans="1:12" ht="15.5" hidden="1">
      <c r="A190" s="391"/>
      <c r="B190" s="19"/>
      <c r="C190" s="496"/>
      <c r="D190" s="19"/>
      <c r="E190" s="497"/>
      <c r="F190" s="19"/>
      <c r="G190" s="497"/>
      <c r="H190" s="19"/>
      <c r="I190" s="497"/>
      <c r="L190" s="476"/>
    </row>
    <row r="191" spans="1:12" ht="15.5" hidden="1">
      <c r="A191" s="391"/>
      <c r="B191" s="19"/>
      <c r="C191" s="496"/>
      <c r="D191" s="19"/>
      <c r="E191" s="497"/>
      <c r="F191" s="19"/>
      <c r="G191" s="497"/>
      <c r="H191" s="19"/>
      <c r="I191" s="497"/>
      <c r="L191" s="476"/>
    </row>
    <row r="192" spans="1:12" ht="15.5" hidden="1">
      <c r="A192" s="391"/>
      <c r="B192" s="19"/>
      <c r="C192" s="496"/>
      <c r="D192" s="19"/>
      <c r="E192" s="497"/>
      <c r="F192" s="19"/>
      <c r="G192" s="497"/>
      <c r="H192" s="19"/>
      <c r="I192" s="497"/>
      <c r="L192" s="476"/>
    </row>
    <row r="193" spans="1:12" ht="15.5" hidden="1">
      <c r="A193" s="391"/>
      <c r="B193" s="19"/>
      <c r="C193" s="496"/>
      <c r="D193" s="19"/>
      <c r="E193" s="497"/>
      <c r="F193" s="19"/>
      <c r="G193" s="497"/>
      <c r="H193" s="19"/>
      <c r="I193" s="497"/>
      <c r="L193" s="476"/>
    </row>
    <row r="194" spans="1:12" ht="15.5" hidden="1">
      <c r="A194" s="391"/>
      <c r="B194" s="19"/>
      <c r="C194" s="496"/>
      <c r="D194" s="19"/>
      <c r="E194" s="497"/>
      <c r="F194" s="19"/>
      <c r="G194" s="497"/>
      <c r="H194" s="19"/>
      <c r="I194" s="497"/>
      <c r="L194" s="476"/>
    </row>
    <row r="195" spans="1:12" ht="15.5" hidden="1">
      <c r="A195" s="391"/>
      <c r="B195" s="19"/>
      <c r="C195" s="496"/>
      <c r="D195" s="19"/>
      <c r="E195" s="497"/>
      <c r="F195" s="19"/>
      <c r="G195" s="497"/>
      <c r="H195" s="19"/>
      <c r="I195" s="497"/>
      <c r="L195" s="476"/>
    </row>
    <row r="196" spans="1:12" ht="15.5" hidden="1">
      <c r="A196" s="391"/>
      <c r="B196" s="19"/>
      <c r="C196" s="496"/>
      <c r="D196" s="19"/>
      <c r="E196" s="497"/>
      <c r="F196" s="19"/>
      <c r="G196" s="497"/>
      <c r="H196" s="19"/>
      <c r="I196" s="497"/>
      <c r="L196" s="476"/>
    </row>
    <row r="197" spans="1:12" ht="15.5" hidden="1">
      <c r="A197" s="391"/>
      <c r="B197" s="19"/>
      <c r="C197" s="496"/>
      <c r="D197" s="19"/>
      <c r="E197" s="497"/>
      <c r="F197" s="19"/>
      <c r="G197" s="497"/>
      <c r="H197" s="19"/>
      <c r="I197" s="497"/>
      <c r="L197" s="476"/>
    </row>
    <row r="198" spans="1:12" ht="15.5" hidden="1">
      <c r="A198" s="391"/>
      <c r="B198" s="19"/>
      <c r="C198" s="496"/>
      <c r="D198" s="19"/>
      <c r="E198" s="497"/>
      <c r="F198" s="19"/>
      <c r="G198" s="497"/>
      <c r="H198" s="19"/>
      <c r="I198" s="497"/>
      <c r="L198" s="476"/>
    </row>
    <row r="199" spans="1:12" ht="15.5" hidden="1">
      <c r="A199" s="391"/>
      <c r="B199" s="19"/>
      <c r="C199" s="496"/>
      <c r="D199" s="19"/>
      <c r="E199" s="497"/>
      <c r="F199" s="19"/>
      <c r="G199" s="497"/>
      <c r="H199" s="19"/>
      <c r="I199" s="497"/>
      <c r="L199" s="476"/>
    </row>
    <row r="200" spans="1:12" ht="15.5" hidden="1">
      <c r="A200" s="391"/>
      <c r="B200" s="19"/>
      <c r="C200" s="496"/>
      <c r="D200" s="19"/>
      <c r="E200" s="497"/>
      <c r="F200" s="19"/>
      <c r="G200" s="497"/>
      <c r="H200" s="19"/>
      <c r="I200" s="497"/>
      <c r="L200" s="476"/>
    </row>
    <row r="201" spans="1:12" ht="15.5" hidden="1">
      <c r="A201" s="391"/>
      <c r="B201" s="19"/>
      <c r="C201" s="496"/>
      <c r="D201" s="19"/>
      <c r="E201" s="497"/>
      <c r="F201" s="19"/>
      <c r="G201" s="497"/>
      <c r="H201" s="19"/>
      <c r="I201" s="497"/>
      <c r="L201" s="476"/>
    </row>
    <row r="202" spans="1:12" ht="15.5" hidden="1">
      <c r="A202" s="391"/>
      <c r="B202" s="19"/>
      <c r="C202" s="496"/>
      <c r="D202" s="19"/>
      <c r="E202" s="497"/>
      <c r="F202" s="19"/>
      <c r="G202" s="497"/>
      <c r="H202" s="19"/>
      <c r="I202" s="497"/>
      <c r="L202" s="476"/>
    </row>
    <row r="203" spans="1:12" ht="15.5">
      <c r="A203" s="391"/>
      <c r="B203" s="19"/>
      <c r="C203" s="496"/>
      <c r="D203" s="19"/>
      <c r="E203" s="497"/>
      <c r="F203" s="19"/>
      <c r="G203" s="497"/>
      <c r="H203" s="19"/>
      <c r="I203" s="497"/>
      <c r="L203" s="476"/>
    </row>
    <row r="204" spans="1:12" ht="15.5">
      <c r="A204" s="391"/>
      <c r="B204" s="19"/>
      <c r="C204" s="496"/>
      <c r="D204" s="19"/>
      <c r="E204" s="497"/>
      <c r="F204" s="19"/>
      <c r="G204" s="497"/>
      <c r="H204" s="19"/>
      <c r="I204" s="497"/>
      <c r="L204" s="476"/>
    </row>
    <row r="205" spans="1:12" ht="15.5">
      <c r="A205" s="391"/>
      <c r="B205" s="19"/>
      <c r="C205" s="496"/>
      <c r="D205" s="19"/>
      <c r="E205" s="497"/>
      <c r="F205" s="19"/>
      <c r="G205" s="497"/>
      <c r="H205" s="19"/>
      <c r="I205" s="497"/>
      <c r="L205" s="476"/>
    </row>
    <row r="206" spans="1:12" ht="15.5">
      <c r="A206" s="391"/>
      <c r="B206" s="19"/>
      <c r="C206" s="496"/>
      <c r="D206" s="19"/>
      <c r="E206" s="497"/>
      <c r="F206" s="19"/>
      <c r="G206" s="497"/>
      <c r="H206" s="19"/>
      <c r="I206" s="497"/>
      <c r="L206" s="476"/>
    </row>
    <row r="207" spans="1:12" ht="15.5">
      <c r="A207" s="391"/>
      <c r="B207" s="19"/>
      <c r="C207" s="496"/>
      <c r="D207" s="19"/>
      <c r="E207" s="497"/>
      <c r="F207" s="19"/>
      <c r="G207" s="497"/>
      <c r="H207" s="19"/>
      <c r="I207" s="497"/>
      <c r="L207" s="476"/>
    </row>
    <row r="208" spans="1:12" ht="15.5">
      <c r="A208" s="391"/>
      <c r="B208" s="19"/>
      <c r="C208" s="496"/>
      <c r="D208" s="19"/>
      <c r="E208" s="497"/>
      <c r="F208" s="19"/>
      <c r="G208" s="497"/>
      <c r="H208" s="19"/>
      <c r="I208" s="497"/>
      <c r="L208" s="476"/>
    </row>
    <row r="209" spans="1:12" ht="15.5">
      <c r="A209" s="391"/>
      <c r="B209" s="19"/>
      <c r="C209" s="496"/>
      <c r="D209" s="19"/>
      <c r="E209" s="497"/>
      <c r="F209" s="19"/>
      <c r="G209" s="497"/>
      <c r="H209" s="19"/>
      <c r="I209" s="497"/>
      <c r="L209" s="476"/>
    </row>
    <row r="210" spans="1:12" ht="15.5">
      <c r="A210" s="391"/>
      <c r="B210" s="19"/>
      <c r="C210" s="496"/>
      <c r="D210" s="19"/>
      <c r="E210" s="497"/>
      <c r="F210" s="19"/>
      <c r="G210" s="497"/>
      <c r="H210" s="19"/>
      <c r="I210" s="497"/>
      <c r="L210" s="476"/>
    </row>
    <row r="211" spans="1:12" ht="15.5" hidden="1">
      <c r="A211" s="391"/>
      <c r="B211" s="19"/>
      <c r="C211" s="496"/>
      <c r="D211" s="19"/>
      <c r="E211" s="497"/>
      <c r="F211" s="19"/>
      <c r="G211" s="497"/>
      <c r="H211" s="19"/>
      <c r="I211" s="497"/>
      <c r="L211" s="476"/>
    </row>
    <row r="212" spans="1:12" ht="15.5">
      <c r="A212" s="391"/>
      <c r="B212" s="19"/>
      <c r="C212" s="496"/>
      <c r="D212" s="19"/>
      <c r="E212" s="497"/>
      <c r="F212" s="19"/>
      <c r="G212" s="497"/>
      <c r="H212" s="19"/>
      <c r="I212" s="497"/>
      <c r="L212" s="476"/>
    </row>
    <row r="213" spans="1:12" ht="15.5">
      <c r="A213" s="391"/>
      <c r="B213" s="19"/>
      <c r="C213" s="496"/>
      <c r="D213" s="19"/>
      <c r="E213" s="497"/>
      <c r="F213" s="19"/>
      <c r="G213" s="497"/>
      <c r="H213" s="19"/>
      <c r="I213" s="497"/>
      <c r="L213" s="476"/>
    </row>
    <row r="214" spans="1:12" ht="15.5">
      <c r="A214" s="382"/>
      <c r="B214" s="584"/>
      <c r="C214" s="585"/>
      <c r="D214" s="584"/>
      <c r="E214" s="586"/>
      <c r="F214" s="584"/>
      <c r="G214" s="586"/>
      <c r="H214" s="584"/>
      <c r="I214" s="586"/>
      <c r="J214" s="383"/>
      <c r="K214" s="385"/>
      <c r="L214" s="600"/>
    </row>
    <row r="215" spans="1:12" ht="15.5">
      <c r="B215" s="19"/>
      <c r="C215" s="496"/>
      <c r="D215" s="19"/>
      <c r="E215" s="497"/>
      <c r="F215" s="19"/>
      <c r="G215" s="497"/>
      <c r="H215" s="19"/>
      <c r="I215" s="497"/>
    </row>
    <row r="216" spans="1:12" ht="15.5">
      <c r="B216" s="19"/>
      <c r="C216" s="496"/>
      <c r="D216" s="19"/>
      <c r="E216" s="497"/>
      <c r="F216" s="19"/>
      <c r="G216" s="497"/>
      <c r="H216" s="19"/>
      <c r="I216" s="497"/>
    </row>
    <row r="217" spans="1:12" ht="9" customHeight="1">
      <c r="A217" s="387"/>
      <c r="B217" s="587"/>
      <c r="C217" s="588"/>
      <c r="D217" s="587"/>
      <c r="E217" s="589"/>
      <c r="F217" s="587"/>
      <c r="G217" s="589"/>
      <c r="H217" s="587"/>
      <c r="I217" s="589"/>
      <c r="J217" s="388"/>
      <c r="K217" s="390"/>
      <c r="L217" s="472"/>
    </row>
    <row r="218" spans="1:12" ht="15.5" hidden="1">
      <c r="A218" s="391"/>
      <c r="B218" s="19"/>
      <c r="C218" s="496"/>
      <c r="D218" s="19"/>
      <c r="E218" s="497"/>
      <c r="F218" s="19"/>
      <c r="G218" s="497"/>
      <c r="H218" s="19"/>
      <c r="I218" s="497"/>
      <c r="L218" s="476"/>
    </row>
    <row r="219" spans="1:12" ht="15.5" hidden="1">
      <c r="A219" s="391"/>
      <c r="B219" s="19"/>
      <c r="C219" s="496"/>
      <c r="D219" s="19"/>
      <c r="E219" s="497"/>
      <c r="F219" s="19"/>
      <c r="G219" s="497"/>
      <c r="H219" s="19"/>
      <c r="I219" s="497"/>
      <c r="L219" s="476"/>
    </row>
    <row r="220" spans="1:12" ht="15.5">
      <c r="A220" s="391"/>
      <c r="B220" s="19"/>
      <c r="C220" s="496"/>
      <c r="D220" s="19"/>
      <c r="E220" s="497"/>
      <c r="F220" s="19"/>
      <c r="G220" s="497"/>
      <c r="H220" s="19"/>
      <c r="I220" s="497"/>
      <c r="L220" s="476"/>
    </row>
    <row r="221" spans="1:12" ht="15.5">
      <c r="A221" s="391"/>
      <c r="B221" s="19"/>
      <c r="C221" s="496"/>
      <c r="D221" s="19"/>
      <c r="E221" s="497"/>
      <c r="F221" s="19"/>
      <c r="G221" s="497"/>
      <c r="H221" s="19"/>
      <c r="I221" s="497"/>
      <c r="L221" s="476"/>
    </row>
    <row r="222" spans="1:12" ht="15.5">
      <c r="A222" s="391"/>
      <c r="B222" s="19"/>
      <c r="C222" s="496"/>
      <c r="D222" s="19"/>
      <c r="E222" s="497"/>
      <c r="F222" s="19"/>
      <c r="G222" s="497"/>
      <c r="H222" s="19"/>
      <c r="I222" s="497"/>
      <c r="L222" s="476"/>
    </row>
    <row r="223" spans="1:12" ht="15.5">
      <c r="A223" s="391"/>
      <c r="B223" s="19"/>
      <c r="C223" s="496"/>
      <c r="D223" s="19"/>
      <c r="E223" s="497"/>
      <c r="F223" s="19"/>
      <c r="G223" s="497"/>
      <c r="H223" s="19"/>
      <c r="I223" s="497"/>
      <c r="L223" s="476"/>
    </row>
    <row r="224" spans="1:12" ht="15.5">
      <c r="A224" s="391"/>
      <c r="B224" s="19"/>
      <c r="C224" s="496"/>
      <c r="D224" s="19"/>
      <c r="E224" s="497"/>
      <c r="F224" s="19"/>
      <c r="G224" s="497"/>
      <c r="H224" s="19"/>
      <c r="I224" s="497"/>
      <c r="L224" s="476"/>
    </row>
    <row r="225" spans="1:18" ht="15.5">
      <c r="A225" s="391"/>
      <c r="B225" s="19"/>
      <c r="C225" s="496"/>
      <c r="D225" s="19"/>
      <c r="E225" s="497"/>
      <c r="F225" s="19"/>
      <c r="G225" s="497"/>
      <c r="H225" s="19"/>
      <c r="I225" s="497"/>
      <c r="L225" s="476"/>
    </row>
    <row r="226" spans="1:18" ht="15.5">
      <c r="A226" s="391"/>
      <c r="B226" s="19"/>
      <c r="C226" s="496"/>
      <c r="D226" s="19"/>
      <c r="E226" s="497"/>
      <c r="F226" s="19"/>
      <c r="G226" s="497"/>
      <c r="H226" s="19"/>
      <c r="I226" s="497"/>
      <c r="L226" s="476"/>
    </row>
    <row r="227" spans="1:18" ht="15.5">
      <c r="A227" s="391"/>
      <c r="B227" s="19"/>
      <c r="C227" s="496"/>
      <c r="D227" s="19"/>
      <c r="E227" s="497"/>
      <c r="F227" s="19"/>
      <c r="G227" s="497"/>
      <c r="H227" s="19"/>
      <c r="I227" s="497"/>
      <c r="L227" s="476"/>
    </row>
    <row r="228" spans="1:18" ht="15.5">
      <c r="A228" s="391"/>
      <c r="B228" s="19"/>
      <c r="C228" s="496"/>
      <c r="D228" s="19"/>
      <c r="E228" s="497"/>
      <c r="F228" s="19"/>
      <c r="G228" s="497"/>
      <c r="H228" s="19"/>
      <c r="I228" s="497"/>
      <c r="L228" s="476"/>
    </row>
    <row r="229" spans="1:18" ht="15.5">
      <c r="A229" s="391"/>
      <c r="B229" s="19"/>
      <c r="C229" s="496"/>
      <c r="D229" s="19"/>
      <c r="E229" s="497"/>
      <c r="F229" s="19"/>
      <c r="G229" s="497"/>
      <c r="H229" s="19"/>
      <c r="I229" s="497"/>
      <c r="L229" s="476"/>
    </row>
    <row r="230" spans="1:18" ht="15.5">
      <c r="A230" s="391"/>
      <c r="B230" s="19"/>
      <c r="C230" s="496"/>
      <c r="D230" s="19"/>
      <c r="E230" s="497"/>
      <c r="F230" s="19"/>
      <c r="G230" s="497"/>
      <c r="H230" s="19"/>
      <c r="I230" s="497"/>
      <c r="L230" s="476"/>
    </row>
    <row r="231" spans="1:18" ht="20">
      <c r="A231" s="512"/>
      <c r="B231" s="590" t="s">
        <v>259</v>
      </c>
      <c r="C231" s="591"/>
      <c r="D231" s="494"/>
      <c r="E231" s="493"/>
      <c r="F231" s="494"/>
      <c r="G231" s="493"/>
      <c r="H231" s="494"/>
      <c r="I231" s="509"/>
      <c r="J231" s="507"/>
      <c r="L231" s="476"/>
      <c r="N231" s="335"/>
      <c r="O231" s="335"/>
    </row>
    <row r="232" spans="1:18" s="335" customFormat="1" ht="7.5" customHeight="1">
      <c r="A232" s="391"/>
      <c r="B232" s="509"/>
      <c r="C232" s="508"/>
      <c r="E232" s="518"/>
      <c r="F232" s="518"/>
      <c r="G232" s="519"/>
      <c r="H232" s="518"/>
      <c r="I232" s="553"/>
      <c r="J232" s="554"/>
      <c r="K232" s="555"/>
      <c r="L232" s="556"/>
      <c r="M232" s="497"/>
      <c r="N232" s="497"/>
      <c r="O232" s="557"/>
      <c r="Q232" s="497"/>
      <c r="R232" s="497"/>
    </row>
    <row r="233" spans="1:18" ht="20">
      <c r="A233" s="512"/>
      <c r="B233" s="592" t="s">
        <v>57</v>
      </c>
      <c r="C233" s="592"/>
      <c r="D233" s="593"/>
      <c r="E233" s="594"/>
      <c r="F233" s="595" t="s">
        <v>253</v>
      </c>
      <c r="G233" s="596"/>
      <c r="H233" s="597" t="s">
        <v>72</v>
      </c>
      <c r="I233" s="601"/>
      <c r="J233" s="602" t="s">
        <v>73</v>
      </c>
      <c r="K233" s="603"/>
      <c r="L233" s="476"/>
      <c r="N233" s="335"/>
      <c r="O233" s="335"/>
    </row>
    <row r="234" spans="1:18" s="335" customFormat="1" ht="7.5" customHeight="1">
      <c r="A234" s="391"/>
      <c r="B234" s="509"/>
      <c r="C234" s="508"/>
      <c r="E234" s="518"/>
      <c r="F234" s="518"/>
      <c r="G234" s="519"/>
      <c r="H234" s="518"/>
      <c r="I234" s="553"/>
      <c r="J234" s="554"/>
      <c r="K234" s="555"/>
      <c r="L234" s="556"/>
      <c r="M234" s="497"/>
      <c r="N234" s="497"/>
      <c r="O234" s="557"/>
      <c r="Q234" s="497"/>
      <c r="R234" s="497"/>
    </row>
    <row r="235" spans="1:18" s="335" customFormat="1" ht="23.25" hidden="1" customHeight="1">
      <c r="A235" s="391"/>
      <c r="B235" s="591"/>
      <c r="C235" s="508"/>
      <c r="E235" s="518"/>
      <c r="F235" s="518"/>
      <c r="G235" s="519"/>
      <c r="H235" s="518"/>
      <c r="I235" s="553"/>
      <c r="J235" s="554"/>
      <c r="K235" s="555"/>
      <c r="L235" s="556"/>
      <c r="M235" s="497"/>
      <c r="N235" s="497"/>
      <c r="O235" s="557"/>
      <c r="Q235" s="497"/>
      <c r="R235" s="497"/>
    </row>
    <row r="236" spans="1:18" ht="18" customHeight="1">
      <c r="A236" s="512"/>
      <c r="B236" s="576" t="str">
        <f>'DATA INPUT '!C86</f>
        <v>TONER</v>
      </c>
      <c r="C236" s="575"/>
      <c r="D236" s="598"/>
      <c r="E236" s="518"/>
      <c r="F236" s="598">
        <v>3000</v>
      </c>
      <c r="G236" s="518"/>
      <c r="H236" s="598">
        <f>'DATA INPUT '!F86</f>
        <v>4</v>
      </c>
      <c r="I236" s="518"/>
      <c r="J236" s="604">
        <f>H236*F236</f>
        <v>12000</v>
      </c>
      <c r="K236" s="605"/>
      <c r="L236" s="476"/>
      <c r="N236" s="606"/>
      <c r="O236" s="335"/>
    </row>
    <row r="237" spans="1:18" ht="18" customHeight="1">
      <c r="A237" s="512"/>
      <c r="B237" s="576" t="s">
        <v>260</v>
      </c>
      <c r="C237" s="575"/>
      <c r="D237" s="598"/>
      <c r="E237" s="518"/>
      <c r="F237" s="598">
        <v>250</v>
      </c>
      <c r="G237" s="518"/>
      <c r="H237" s="598">
        <v>150</v>
      </c>
      <c r="I237" s="518"/>
      <c r="J237" s="604">
        <f>H237*F237</f>
        <v>37500</v>
      </c>
      <c r="K237" s="605"/>
      <c r="L237" s="476"/>
      <c r="N237" s="606"/>
      <c r="O237" s="335"/>
    </row>
    <row r="238" spans="1:18" ht="18" customHeight="1">
      <c r="A238" s="512"/>
      <c r="B238" s="576" t="str">
        <f>'DATA INPUT '!C87</f>
        <v>CLEAR STICKER BUNDLE</v>
      </c>
      <c r="C238" s="575"/>
      <c r="D238" s="598"/>
      <c r="E238" s="518"/>
      <c r="F238" s="598">
        <f>'DATA INPUT '!E87</f>
        <v>15</v>
      </c>
      <c r="G238" s="518"/>
      <c r="H238" s="598">
        <f>'DATA INPUT '!F87</f>
        <v>1000</v>
      </c>
      <c r="I238" s="518"/>
      <c r="J238" s="604">
        <f t="shared" ref="J238:J259" si="5">H238*F238</f>
        <v>15000</v>
      </c>
      <c r="K238" s="605"/>
      <c r="L238" s="476"/>
      <c r="N238" s="606"/>
      <c r="O238" s="335"/>
    </row>
    <row r="239" spans="1:18" ht="18" customHeight="1">
      <c r="A239" s="512"/>
      <c r="B239" s="576" t="str">
        <f>'DATA INPUT '!C88</f>
        <v>PAPER STICKER BUNDLE</v>
      </c>
      <c r="C239" s="575"/>
      <c r="D239" s="598"/>
      <c r="E239" s="518"/>
      <c r="F239" s="598">
        <f>'DATA INPUT '!E88</f>
        <v>7</v>
      </c>
      <c r="G239" s="518"/>
      <c r="H239" s="598">
        <f>'DATA INPUT '!F88</f>
        <v>1000</v>
      </c>
      <c r="I239" s="518"/>
      <c r="J239" s="604">
        <f t="shared" si="5"/>
        <v>7000</v>
      </c>
      <c r="K239" s="605"/>
      <c r="L239" s="476"/>
      <c r="N239" s="606"/>
      <c r="O239" s="335"/>
    </row>
    <row r="240" spans="1:18" ht="18" customHeight="1">
      <c r="A240" s="512"/>
      <c r="B240" s="576" t="str">
        <f>'DATA INPUT '!C89</f>
        <v>VINYL STICKER</v>
      </c>
      <c r="C240" s="575"/>
      <c r="D240" s="598"/>
      <c r="E240" s="518"/>
      <c r="F240" s="598">
        <f>'DATA INPUT '!E89</f>
        <v>15</v>
      </c>
      <c r="G240" s="518"/>
      <c r="H240" s="598">
        <f>'DATA INPUT '!F89</f>
        <v>500</v>
      </c>
      <c r="I240" s="518"/>
      <c r="J240" s="604">
        <f t="shared" si="5"/>
        <v>7500</v>
      </c>
      <c r="K240" s="605"/>
      <c r="L240" s="476"/>
      <c r="N240" s="606"/>
      <c r="O240" s="335"/>
    </row>
    <row r="241" spans="1:15" ht="18" customHeight="1">
      <c r="A241" s="512"/>
      <c r="B241" s="576" t="str">
        <f>'DATA INPUT '!C90</f>
        <v>100 GSM PAPER BUNDLE</v>
      </c>
      <c r="C241" s="575"/>
      <c r="D241" s="598"/>
      <c r="E241" s="518"/>
      <c r="F241" s="598">
        <f>'DATA INPUT '!E90</f>
        <v>2</v>
      </c>
      <c r="G241" s="518"/>
      <c r="H241" s="598">
        <f>'DATA INPUT '!F90</f>
        <v>3000</v>
      </c>
      <c r="I241" s="518"/>
      <c r="J241" s="604">
        <f t="shared" si="5"/>
        <v>6000</v>
      </c>
      <c r="K241" s="605"/>
      <c r="L241" s="476"/>
      <c r="N241" s="606"/>
      <c r="O241" s="335"/>
    </row>
    <row r="242" spans="1:15" ht="18" customHeight="1">
      <c r="A242" s="512"/>
      <c r="B242" s="576" t="str">
        <f>'DATA INPUT '!C91</f>
        <v>170 GSM PA[PER BUNDLE</v>
      </c>
      <c r="C242" s="575"/>
      <c r="D242" s="598"/>
      <c r="E242" s="518"/>
      <c r="F242" s="598">
        <f>'DATA INPUT '!E91</f>
        <v>3</v>
      </c>
      <c r="G242" s="518"/>
      <c r="H242" s="598">
        <f>'DATA INPUT '!F91</f>
        <v>2500</v>
      </c>
      <c r="I242" s="518"/>
      <c r="J242" s="604">
        <f t="shared" si="5"/>
        <v>7500</v>
      </c>
      <c r="K242" s="605"/>
      <c r="L242" s="476"/>
      <c r="N242" s="606"/>
      <c r="O242" s="335"/>
    </row>
    <row r="243" spans="1:15" ht="18" customHeight="1">
      <c r="A243" s="512"/>
      <c r="B243" s="576" t="str">
        <f>'DATA INPUT '!C92</f>
        <v>220 GSM PAPER BUNDLE</v>
      </c>
      <c r="C243" s="575"/>
      <c r="D243" s="598"/>
      <c r="E243" s="518"/>
      <c r="F243" s="598">
        <f>'DATA INPUT '!E92</f>
        <v>4</v>
      </c>
      <c r="G243" s="518"/>
      <c r="H243" s="598">
        <f>'DATA INPUT '!F92</f>
        <v>4000</v>
      </c>
      <c r="I243" s="518"/>
      <c r="J243" s="604">
        <f t="shared" si="5"/>
        <v>16000</v>
      </c>
      <c r="K243" s="605"/>
      <c r="L243" s="476"/>
      <c r="N243" s="606"/>
      <c r="O243" s="335"/>
    </row>
    <row r="244" spans="1:15" ht="18" customHeight="1">
      <c r="A244" s="512"/>
      <c r="B244" s="576" t="str">
        <f>'DATA INPUT '!C93</f>
        <v>300GSM PAPER BUNDLE</v>
      </c>
      <c r="C244" s="575"/>
      <c r="D244" s="598"/>
      <c r="E244" s="518"/>
      <c r="F244" s="598">
        <f>'DATA INPUT '!E93</f>
        <v>5</v>
      </c>
      <c r="G244" s="518"/>
      <c r="H244" s="598">
        <f>'DATA INPUT '!F93</f>
        <v>2000</v>
      </c>
      <c r="I244" s="518"/>
      <c r="J244" s="604">
        <f t="shared" si="5"/>
        <v>10000</v>
      </c>
      <c r="K244" s="605"/>
      <c r="L244" s="476"/>
      <c r="N244" s="606"/>
      <c r="O244" s="335"/>
    </row>
    <row r="245" spans="1:15" ht="18" hidden="1" customHeight="1">
      <c r="A245" s="512"/>
      <c r="B245" s="576">
        <f>'DATA INPUT '!C94</f>
        <v>0</v>
      </c>
      <c r="C245" s="575"/>
      <c r="D245" s="598"/>
      <c r="E245" s="518"/>
      <c r="F245" s="599">
        <f>'DATA INPUT '!E94</f>
        <v>0</v>
      </c>
      <c r="G245" s="518"/>
      <c r="H245" s="598">
        <f>'DATA INPUT '!F94</f>
        <v>0</v>
      </c>
      <c r="I245" s="518"/>
      <c r="J245" s="604">
        <f t="shared" si="5"/>
        <v>0</v>
      </c>
      <c r="K245" s="605"/>
      <c r="L245" s="476"/>
      <c r="N245" s="606"/>
      <c r="O245" s="335"/>
    </row>
    <row r="246" spans="1:15" ht="18" hidden="1" customHeight="1">
      <c r="A246" s="512"/>
      <c r="B246" s="576">
        <f>'DATA INPUT '!C95</f>
        <v>0</v>
      </c>
      <c r="C246" s="575"/>
      <c r="D246" s="598"/>
      <c r="E246" s="518"/>
      <c r="F246" s="599">
        <f>'DATA INPUT '!E95</f>
        <v>0</v>
      </c>
      <c r="G246" s="518"/>
      <c r="H246" s="598">
        <f>'DATA INPUT '!F95</f>
        <v>0</v>
      </c>
      <c r="I246" s="518"/>
      <c r="J246" s="604">
        <f t="shared" si="5"/>
        <v>0</v>
      </c>
      <c r="K246" s="605"/>
      <c r="L246" s="476"/>
      <c r="N246" s="606"/>
      <c r="O246" s="335"/>
    </row>
    <row r="247" spans="1:15" ht="18" hidden="1" customHeight="1">
      <c r="A247" s="512"/>
      <c r="B247" s="576">
        <f>'DATA INPUT '!C96</f>
        <v>0</v>
      </c>
      <c r="C247" s="575"/>
      <c r="D247" s="598"/>
      <c r="E247" s="518"/>
      <c r="F247" s="599">
        <f>'DATA INPUT '!E96</f>
        <v>0</v>
      </c>
      <c r="G247" s="518"/>
      <c r="H247" s="598">
        <f>'DATA INPUT '!F96</f>
        <v>0</v>
      </c>
      <c r="I247" s="518"/>
      <c r="J247" s="604">
        <f t="shared" si="5"/>
        <v>0</v>
      </c>
      <c r="K247" s="605"/>
      <c r="L247" s="476"/>
      <c r="N247" s="606"/>
      <c r="O247" s="335"/>
    </row>
    <row r="248" spans="1:15" ht="18" hidden="1" customHeight="1">
      <c r="A248" s="512"/>
      <c r="B248" s="576">
        <f>'DATA INPUT '!C97</f>
        <v>0</v>
      </c>
      <c r="C248" s="575"/>
      <c r="D248" s="598"/>
      <c r="E248" s="518"/>
      <c r="F248" s="599">
        <f>'DATA INPUT '!E97</f>
        <v>0</v>
      </c>
      <c r="G248" s="518"/>
      <c r="H248" s="598">
        <f>'DATA INPUT '!F97</f>
        <v>0</v>
      </c>
      <c r="I248" s="518"/>
      <c r="J248" s="604">
        <f t="shared" si="5"/>
        <v>0</v>
      </c>
      <c r="K248" s="605"/>
      <c r="L248" s="476"/>
      <c r="N248" s="606"/>
      <c r="O248" s="335"/>
    </row>
    <row r="249" spans="1:15" ht="18" hidden="1" customHeight="1">
      <c r="A249" s="512"/>
      <c r="B249" s="576">
        <f>'DATA INPUT '!C98</f>
        <v>0</v>
      </c>
      <c r="C249" s="575"/>
      <c r="D249" s="598"/>
      <c r="E249" s="518"/>
      <c r="F249" s="599">
        <f>'DATA INPUT '!E98</f>
        <v>0</v>
      </c>
      <c r="G249" s="518"/>
      <c r="H249" s="598">
        <f>'DATA INPUT '!F98</f>
        <v>0</v>
      </c>
      <c r="I249" s="518"/>
      <c r="J249" s="604">
        <f t="shared" si="5"/>
        <v>0</v>
      </c>
      <c r="K249" s="605"/>
      <c r="L249" s="476"/>
      <c r="N249" s="606"/>
      <c r="O249" s="335"/>
    </row>
    <row r="250" spans="1:15" ht="18" hidden="1" customHeight="1">
      <c r="A250" s="512"/>
      <c r="B250" s="576">
        <f>'DATA INPUT '!C99</f>
        <v>0</v>
      </c>
      <c r="C250" s="575"/>
      <c r="D250" s="598"/>
      <c r="E250" s="518"/>
      <c r="F250" s="599">
        <f>'DATA INPUT '!E99</f>
        <v>0</v>
      </c>
      <c r="G250" s="518"/>
      <c r="H250" s="598">
        <f>'DATA INPUT '!F99</f>
        <v>0</v>
      </c>
      <c r="I250" s="518"/>
      <c r="J250" s="604">
        <f t="shared" si="5"/>
        <v>0</v>
      </c>
      <c r="K250" s="605"/>
      <c r="L250" s="476"/>
      <c r="N250" s="606"/>
      <c r="O250" s="335"/>
    </row>
    <row r="251" spans="1:15" ht="18" hidden="1" customHeight="1">
      <c r="A251" s="512"/>
      <c r="B251" s="576">
        <f>'DATA INPUT '!C100</f>
        <v>0</v>
      </c>
      <c r="C251" s="575"/>
      <c r="D251" s="598"/>
      <c r="E251" s="518"/>
      <c r="F251" s="599">
        <f>'DATA INPUT '!E100</f>
        <v>0</v>
      </c>
      <c r="G251" s="518"/>
      <c r="H251" s="598">
        <f>'DATA INPUT '!F100</f>
        <v>0</v>
      </c>
      <c r="I251" s="518"/>
      <c r="J251" s="604">
        <f t="shared" si="5"/>
        <v>0</v>
      </c>
      <c r="K251" s="605"/>
      <c r="L251" s="476"/>
      <c r="N251" s="606"/>
      <c r="O251" s="335"/>
    </row>
    <row r="252" spans="1:15" ht="18" hidden="1" customHeight="1">
      <c r="A252" s="512"/>
      <c r="B252" s="576">
        <f>'DATA INPUT '!C101</f>
        <v>0</v>
      </c>
      <c r="C252" s="575"/>
      <c r="D252" s="598"/>
      <c r="E252" s="518"/>
      <c r="F252" s="599">
        <f>'DATA INPUT '!E101</f>
        <v>0</v>
      </c>
      <c r="G252" s="518"/>
      <c r="H252" s="598">
        <f>'DATA INPUT '!F101</f>
        <v>0</v>
      </c>
      <c r="I252" s="518"/>
      <c r="J252" s="604">
        <f t="shared" si="5"/>
        <v>0</v>
      </c>
      <c r="K252" s="605"/>
      <c r="L252" s="476"/>
      <c r="N252" s="606"/>
      <c r="O252" s="335"/>
    </row>
    <row r="253" spans="1:15" ht="18" hidden="1" customHeight="1">
      <c r="A253" s="512"/>
      <c r="B253" s="576">
        <f>'DATA INPUT '!C102</f>
        <v>0</v>
      </c>
      <c r="C253" s="575"/>
      <c r="D253" s="598"/>
      <c r="E253" s="518"/>
      <c r="F253" s="599">
        <f>'DATA INPUT '!E102</f>
        <v>0</v>
      </c>
      <c r="G253" s="518"/>
      <c r="H253" s="598">
        <f>'DATA INPUT '!F102</f>
        <v>0</v>
      </c>
      <c r="I253" s="518"/>
      <c r="J253" s="604">
        <f t="shared" si="5"/>
        <v>0</v>
      </c>
      <c r="K253" s="605"/>
      <c r="L253" s="476"/>
      <c r="N253" s="606"/>
      <c r="O253" s="335"/>
    </row>
    <row r="254" spans="1:15" ht="20" hidden="1">
      <c r="A254" s="391"/>
      <c r="B254" s="576">
        <f>'DATA INPUT '!C103</f>
        <v>0</v>
      </c>
      <c r="C254" s="575"/>
      <c r="D254" s="598"/>
      <c r="E254" s="518"/>
      <c r="F254" s="599">
        <f>'DATA INPUT '!E103</f>
        <v>0</v>
      </c>
      <c r="G254" s="518"/>
      <c r="H254" s="598">
        <f>'DATA INPUT '!F103</f>
        <v>0</v>
      </c>
      <c r="I254" s="518"/>
      <c r="J254" s="604">
        <f t="shared" si="5"/>
        <v>0</v>
      </c>
      <c r="K254" s="605"/>
      <c r="L254" s="476"/>
      <c r="N254" s="606"/>
      <c r="O254" s="335"/>
    </row>
    <row r="255" spans="1:15" ht="20" hidden="1">
      <c r="A255" s="512"/>
      <c r="B255" s="576">
        <f>'DATA INPUT '!C104</f>
        <v>0</v>
      </c>
      <c r="C255" s="575"/>
      <c r="D255" s="598"/>
      <c r="E255" s="518"/>
      <c r="F255" s="599">
        <f>'DATA INPUT '!E104</f>
        <v>0</v>
      </c>
      <c r="G255" s="518"/>
      <c r="H255" s="598">
        <f>'DATA INPUT '!F104</f>
        <v>0</v>
      </c>
      <c r="I255" s="518"/>
      <c r="J255" s="604">
        <f t="shared" si="5"/>
        <v>0</v>
      </c>
      <c r="K255" s="605"/>
      <c r="L255" s="476"/>
      <c r="N255" s="606"/>
      <c r="O255" s="335"/>
    </row>
    <row r="256" spans="1:15" ht="21.75" hidden="1" customHeight="1">
      <c r="A256" s="512"/>
      <c r="B256" s="576">
        <f>'DATA INPUT '!C105</f>
        <v>0</v>
      </c>
      <c r="C256" s="575"/>
      <c r="D256" s="598"/>
      <c r="E256" s="518"/>
      <c r="F256" s="599">
        <f>'DATA INPUT '!E105</f>
        <v>0</v>
      </c>
      <c r="G256" s="518"/>
      <c r="H256" s="598">
        <f>'DATA INPUT '!F105</f>
        <v>0</v>
      </c>
      <c r="I256" s="518"/>
      <c r="J256" s="604">
        <f t="shared" si="5"/>
        <v>0</v>
      </c>
      <c r="K256" s="605"/>
      <c r="L256" s="476"/>
      <c r="N256" s="606"/>
      <c r="O256" s="335"/>
    </row>
    <row r="257" spans="1:15" ht="21.75" hidden="1" customHeight="1">
      <c r="A257" s="512"/>
      <c r="B257" s="576">
        <f>'DATA INPUT '!C106</f>
        <v>0</v>
      </c>
      <c r="C257" s="575"/>
      <c r="D257" s="598"/>
      <c r="E257" s="518"/>
      <c r="F257" s="599">
        <f>'DATA INPUT '!E106</f>
        <v>0</v>
      </c>
      <c r="G257" s="518"/>
      <c r="H257" s="598">
        <f>'DATA INPUT '!F106</f>
        <v>0</v>
      </c>
      <c r="I257" s="518"/>
      <c r="J257" s="604">
        <f t="shared" si="5"/>
        <v>0</v>
      </c>
      <c r="K257" s="605"/>
      <c r="L257" s="476"/>
      <c r="N257" s="606"/>
      <c r="O257" s="335"/>
    </row>
    <row r="258" spans="1:15" ht="21.75" hidden="1" customHeight="1">
      <c r="A258" s="512"/>
      <c r="B258" s="576">
        <f>'DATA INPUT '!C107</f>
        <v>0</v>
      </c>
      <c r="C258" s="575"/>
      <c r="D258" s="598"/>
      <c r="E258" s="518"/>
      <c r="F258" s="599">
        <f>'DATA INPUT '!E107</f>
        <v>0</v>
      </c>
      <c r="G258" s="518"/>
      <c r="H258" s="598">
        <f>'DATA INPUT '!F107</f>
        <v>0</v>
      </c>
      <c r="I258" s="518"/>
      <c r="J258" s="604">
        <f t="shared" si="5"/>
        <v>0</v>
      </c>
      <c r="K258" s="605"/>
      <c r="L258" s="476"/>
      <c r="N258" s="606"/>
      <c r="O258" s="335"/>
    </row>
    <row r="259" spans="1:15" ht="21.75" hidden="1" customHeight="1">
      <c r="A259" s="512"/>
      <c r="B259" s="576">
        <f>'DATA INPUT '!C108</f>
        <v>0</v>
      </c>
      <c r="C259" s="575"/>
      <c r="D259" s="598"/>
      <c r="E259" s="518"/>
      <c r="F259" s="599">
        <f>'DATA INPUT '!E108</f>
        <v>0</v>
      </c>
      <c r="G259" s="518"/>
      <c r="H259" s="598">
        <f>'DATA INPUT '!F108</f>
        <v>0</v>
      </c>
      <c r="I259" s="518"/>
      <c r="J259" s="604">
        <f t="shared" si="5"/>
        <v>0</v>
      </c>
      <c r="K259" s="605"/>
      <c r="L259" s="476"/>
      <c r="N259" s="606"/>
      <c r="O259" s="335"/>
    </row>
    <row r="260" spans="1:15" ht="21.75" hidden="1" customHeight="1">
      <c r="A260" s="512"/>
      <c r="B260" s="576">
        <f>'DATA INPUT '!C109</f>
        <v>0</v>
      </c>
      <c r="C260" s="575"/>
      <c r="D260" s="598"/>
      <c r="E260" s="518"/>
      <c r="F260" s="599">
        <f>'DATA INPUT '!E109</f>
        <v>0</v>
      </c>
      <c r="G260" s="518"/>
      <c r="H260" s="598">
        <f>'DATA INPUT '!F109</f>
        <v>0</v>
      </c>
      <c r="I260" s="518"/>
      <c r="J260" s="604">
        <f t="shared" ref="J260:J270" si="6">H260*F260</f>
        <v>0</v>
      </c>
      <c r="K260" s="605"/>
      <c r="L260" s="476"/>
      <c r="N260" s="606"/>
      <c r="O260" s="335"/>
    </row>
    <row r="261" spans="1:15" ht="21.75" hidden="1" customHeight="1">
      <c r="A261" s="512"/>
      <c r="B261" s="576">
        <f>'DATA INPUT '!C110</f>
        <v>0</v>
      </c>
      <c r="C261" s="575"/>
      <c r="D261" s="598"/>
      <c r="E261" s="518"/>
      <c r="F261" s="599">
        <f>'DATA INPUT '!E110</f>
        <v>0</v>
      </c>
      <c r="G261" s="518"/>
      <c r="H261" s="598">
        <f>'DATA INPUT '!F110</f>
        <v>0</v>
      </c>
      <c r="I261" s="518"/>
      <c r="J261" s="604">
        <f t="shared" si="6"/>
        <v>0</v>
      </c>
      <c r="K261" s="605"/>
      <c r="L261" s="476"/>
      <c r="N261" s="606"/>
      <c r="O261" s="335"/>
    </row>
    <row r="262" spans="1:15" ht="21.75" hidden="1" customHeight="1">
      <c r="A262" s="512"/>
      <c r="B262" s="576">
        <f>'DATA INPUT '!C111</f>
        <v>0</v>
      </c>
      <c r="C262" s="575"/>
      <c r="D262" s="598"/>
      <c r="E262" s="518"/>
      <c r="F262" s="599">
        <f>'DATA INPUT '!E111</f>
        <v>0</v>
      </c>
      <c r="G262" s="518"/>
      <c r="H262" s="598">
        <f>'DATA INPUT '!F111</f>
        <v>0</v>
      </c>
      <c r="I262" s="518"/>
      <c r="J262" s="604">
        <f t="shared" si="6"/>
        <v>0</v>
      </c>
      <c r="K262" s="605"/>
      <c r="L262" s="476"/>
      <c r="N262" s="606"/>
      <c r="O262" s="335"/>
    </row>
    <row r="263" spans="1:15" ht="21.75" hidden="1" customHeight="1">
      <c r="A263" s="512"/>
      <c r="B263" s="576">
        <f>'DATA INPUT '!C112</f>
        <v>0</v>
      </c>
      <c r="C263" s="575"/>
      <c r="D263" s="598"/>
      <c r="E263" s="518"/>
      <c r="F263" s="599">
        <f>'DATA INPUT '!E112</f>
        <v>0</v>
      </c>
      <c r="G263" s="518"/>
      <c r="H263" s="598">
        <f>'DATA INPUT '!F112</f>
        <v>0</v>
      </c>
      <c r="I263" s="518"/>
      <c r="J263" s="604">
        <f t="shared" si="6"/>
        <v>0</v>
      </c>
      <c r="K263" s="605"/>
      <c r="L263" s="476"/>
      <c r="N263" s="606"/>
      <c r="O263" s="335"/>
    </row>
    <row r="264" spans="1:15" ht="21.75" hidden="1" customHeight="1">
      <c r="A264" s="512"/>
      <c r="B264" s="576">
        <f>'DATA INPUT '!C113</f>
        <v>0</v>
      </c>
      <c r="C264" s="575"/>
      <c r="D264" s="598"/>
      <c r="E264" s="518"/>
      <c r="F264" s="599">
        <f>'DATA INPUT '!E113</f>
        <v>0</v>
      </c>
      <c r="G264" s="518"/>
      <c r="H264" s="598">
        <f>'DATA INPUT '!F113</f>
        <v>0</v>
      </c>
      <c r="I264" s="518"/>
      <c r="J264" s="604">
        <f t="shared" si="6"/>
        <v>0</v>
      </c>
      <c r="K264" s="605"/>
      <c r="L264" s="476"/>
      <c r="N264" s="606"/>
      <c r="O264" s="335"/>
    </row>
    <row r="265" spans="1:15" ht="21.75" hidden="1" customHeight="1">
      <c r="A265" s="512"/>
      <c r="B265" s="576">
        <f>'DATA INPUT '!C114</f>
        <v>0</v>
      </c>
      <c r="C265" s="575"/>
      <c r="D265" s="598"/>
      <c r="E265" s="518"/>
      <c r="F265" s="599">
        <f>'DATA INPUT '!E114</f>
        <v>0</v>
      </c>
      <c r="G265" s="518"/>
      <c r="H265" s="598">
        <f>'DATA INPUT '!F114</f>
        <v>0</v>
      </c>
      <c r="I265" s="518"/>
      <c r="J265" s="604">
        <f t="shared" si="6"/>
        <v>0</v>
      </c>
      <c r="K265" s="605"/>
      <c r="L265" s="476"/>
      <c r="N265" s="606"/>
      <c r="O265" s="335"/>
    </row>
    <row r="266" spans="1:15" ht="21.75" hidden="1" customHeight="1">
      <c r="A266" s="512"/>
      <c r="B266" s="576">
        <f>'DATA INPUT '!C115</f>
        <v>0</v>
      </c>
      <c r="C266" s="575"/>
      <c r="D266" s="598"/>
      <c r="E266" s="518"/>
      <c r="F266" s="599">
        <f>'DATA INPUT '!E115</f>
        <v>0</v>
      </c>
      <c r="G266" s="518"/>
      <c r="H266" s="598">
        <f>'DATA INPUT '!F115</f>
        <v>0</v>
      </c>
      <c r="I266" s="518"/>
      <c r="J266" s="604">
        <f t="shared" si="6"/>
        <v>0</v>
      </c>
      <c r="K266" s="605"/>
      <c r="L266" s="476"/>
      <c r="N266" s="606"/>
      <c r="O266" s="335"/>
    </row>
    <row r="267" spans="1:15" ht="21.75" hidden="1" customHeight="1">
      <c r="A267" s="512"/>
      <c r="B267" s="576">
        <f>'DATA INPUT '!C116</f>
        <v>0</v>
      </c>
      <c r="C267" s="575"/>
      <c r="D267" s="598"/>
      <c r="E267" s="518"/>
      <c r="F267" s="599">
        <f>'DATA INPUT '!E116</f>
        <v>0</v>
      </c>
      <c r="G267" s="518"/>
      <c r="H267" s="598">
        <f>'DATA INPUT '!F116</f>
        <v>0</v>
      </c>
      <c r="I267" s="518"/>
      <c r="J267" s="604">
        <f t="shared" si="6"/>
        <v>0</v>
      </c>
      <c r="K267" s="605"/>
      <c r="L267" s="476"/>
      <c r="N267" s="606"/>
      <c r="O267" s="335"/>
    </row>
    <row r="268" spans="1:15" ht="21.75" hidden="1" customHeight="1">
      <c r="A268" s="512"/>
      <c r="B268" s="576">
        <f>'DATA INPUT '!C117</f>
        <v>0</v>
      </c>
      <c r="C268" s="575"/>
      <c r="D268" s="598"/>
      <c r="E268" s="518"/>
      <c r="F268" s="599">
        <f>'DATA INPUT '!E117</f>
        <v>0</v>
      </c>
      <c r="G268" s="518"/>
      <c r="H268" s="598">
        <f>'DATA INPUT '!F117</f>
        <v>0</v>
      </c>
      <c r="I268" s="518"/>
      <c r="J268" s="604">
        <f t="shared" si="6"/>
        <v>0</v>
      </c>
      <c r="K268" s="605"/>
      <c r="L268" s="476"/>
      <c r="N268" s="606"/>
      <c r="O268" s="335"/>
    </row>
    <row r="269" spans="1:15" ht="21.75" hidden="1" customHeight="1">
      <c r="A269" s="512"/>
      <c r="B269" s="576">
        <f>'DATA INPUT '!C118</f>
        <v>0</v>
      </c>
      <c r="C269" s="575"/>
      <c r="D269" s="598"/>
      <c r="E269" s="518"/>
      <c r="F269" s="599">
        <f>'DATA INPUT '!E118</f>
        <v>0</v>
      </c>
      <c r="G269" s="518"/>
      <c r="H269" s="598">
        <f>'DATA INPUT '!F118</f>
        <v>0</v>
      </c>
      <c r="I269" s="518"/>
      <c r="J269" s="604">
        <f t="shared" si="6"/>
        <v>0</v>
      </c>
      <c r="K269" s="605"/>
      <c r="L269" s="476"/>
      <c r="N269" s="606"/>
      <c r="O269" s="335"/>
    </row>
    <row r="270" spans="1:15" ht="21.75" hidden="1" customHeight="1">
      <c r="A270" s="512"/>
      <c r="B270" s="576">
        <f>'DATA INPUT '!C119</f>
        <v>0</v>
      </c>
      <c r="C270" s="575"/>
      <c r="D270" s="598"/>
      <c r="E270" s="518"/>
      <c r="F270" s="599">
        <f>'DATA INPUT '!E119</f>
        <v>0</v>
      </c>
      <c r="G270" s="518"/>
      <c r="H270" s="598">
        <f>'DATA INPUT '!F119</f>
        <v>0</v>
      </c>
      <c r="I270" s="518"/>
      <c r="J270" s="604">
        <f t="shared" si="6"/>
        <v>0</v>
      </c>
      <c r="K270" s="605"/>
      <c r="L270" s="476"/>
      <c r="N270" s="606"/>
      <c r="O270" s="335"/>
    </row>
    <row r="271" spans="1:15" ht="21.75" hidden="1" customHeight="1">
      <c r="A271" s="512"/>
      <c r="B271" s="576"/>
      <c r="C271" s="575"/>
      <c r="D271" s="598"/>
      <c r="E271" s="518"/>
      <c r="F271" s="599"/>
      <c r="G271" s="518"/>
      <c r="H271" s="598"/>
      <c r="I271" s="518"/>
      <c r="J271" s="604"/>
      <c r="K271" s="605"/>
      <c r="L271" s="476"/>
      <c r="N271" s="606"/>
      <c r="O271" s="335"/>
    </row>
    <row r="272" spans="1:15" ht="21.75" hidden="1" customHeight="1">
      <c r="A272" s="512"/>
      <c r="B272" s="576"/>
      <c r="C272" s="575"/>
      <c r="D272" s="598"/>
      <c r="E272" s="518"/>
      <c r="F272" s="599"/>
      <c r="G272" s="518"/>
      <c r="H272" s="598"/>
      <c r="I272" s="518"/>
      <c r="J272" s="604"/>
      <c r="K272" s="605"/>
      <c r="L272" s="476"/>
      <c r="N272" s="606"/>
      <c r="O272" s="335"/>
    </row>
    <row r="273" spans="1:15" ht="21.75" hidden="1" customHeight="1">
      <c r="A273" s="512"/>
      <c r="B273" s="576"/>
      <c r="C273" s="575"/>
      <c r="D273" s="598"/>
      <c r="E273" s="518"/>
      <c r="F273" s="599"/>
      <c r="G273" s="518"/>
      <c r="H273" s="598"/>
      <c r="I273" s="518"/>
      <c r="J273" s="604"/>
      <c r="K273" s="605"/>
      <c r="L273" s="476"/>
      <c r="N273" s="606"/>
      <c r="O273" s="335"/>
    </row>
    <row r="274" spans="1:15" ht="21.75" hidden="1" customHeight="1">
      <c r="A274" s="512"/>
      <c r="B274" s="576"/>
      <c r="C274" s="575"/>
      <c r="D274" s="598"/>
      <c r="E274" s="518"/>
      <c r="F274" s="599"/>
      <c r="G274" s="518"/>
      <c r="H274" s="598"/>
      <c r="I274" s="518"/>
      <c r="J274" s="604"/>
      <c r="K274" s="605"/>
      <c r="L274" s="476"/>
      <c r="N274" s="606"/>
      <c r="O274" s="335"/>
    </row>
    <row r="275" spans="1:15" ht="21.75" hidden="1" customHeight="1">
      <c r="A275" s="512"/>
      <c r="B275" s="576"/>
      <c r="C275" s="575"/>
      <c r="D275" s="598"/>
      <c r="E275" s="518"/>
      <c r="F275" s="598"/>
      <c r="G275" s="518"/>
      <c r="H275" s="598"/>
      <c r="I275" s="518"/>
      <c r="J275" s="604"/>
      <c r="K275" s="605"/>
      <c r="L275" s="476"/>
      <c r="N275" s="606"/>
      <c r="O275" s="335"/>
    </row>
    <row r="276" spans="1:15" ht="21.75" hidden="1" customHeight="1">
      <c r="A276" s="512"/>
      <c r="B276" s="576"/>
      <c r="C276" s="575"/>
      <c r="D276" s="598"/>
      <c r="E276" s="518"/>
      <c r="F276" s="598"/>
      <c r="G276" s="518"/>
      <c r="H276" s="598"/>
      <c r="I276" s="518"/>
      <c r="J276" s="604"/>
      <c r="K276" s="605"/>
      <c r="L276" s="476"/>
      <c r="N276" s="606"/>
      <c r="O276" s="335"/>
    </row>
    <row r="277" spans="1:15" ht="21.75" hidden="1" customHeight="1">
      <c r="A277" s="512"/>
      <c r="B277" s="576"/>
      <c r="C277" s="575"/>
      <c r="D277" s="598"/>
      <c r="E277" s="518"/>
      <c r="F277" s="598"/>
      <c r="G277" s="518"/>
      <c r="H277" s="598"/>
      <c r="I277" s="518"/>
      <c r="J277" s="604"/>
      <c r="K277" s="605"/>
      <c r="L277" s="476"/>
      <c r="N277" s="606"/>
      <c r="O277" s="335"/>
    </row>
    <row r="278" spans="1:15" ht="21.75" hidden="1" customHeight="1">
      <c r="A278" s="512"/>
      <c r="B278" s="576"/>
      <c r="C278" s="575"/>
      <c r="D278" s="598"/>
      <c r="E278" s="518"/>
      <c r="F278" s="598"/>
      <c r="G278" s="518"/>
      <c r="H278" s="598"/>
      <c r="I278" s="518"/>
      <c r="J278" s="604"/>
      <c r="K278" s="605"/>
      <c r="L278" s="476"/>
      <c r="N278" s="606"/>
      <c r="O278" s="335"/>
    </row>
    <row r="279" spans="1:15" ht="21.75" hidden="1" customHeight="1">
      <c r="A279" s="512"/>
      <c r="B279" s="576"/>
      <c r="C279" s="575"/>
      <c r="D279" s="598"/>
      <c r="E279" s="518"/>
      <c r="F279" s="598"/>
      <c r="G279" s="518"/>
      <c r="H279" s="598"/>
      <c r="I279" s="518"/>
      <c r="J279" s="604"/>
      <c r="K279" s="605"/>
      <c r="L279" s="476"/>
      <c r="N279" s="606"/>
      <c r="O279" s="335"/>
    </row>
    <row r="280" spans="1:15" ht="21.75" hidden="1" customHeight="1">
      <c r="A280" s="512"/>
      <c r="B280" s="576"/>
      <c r="C280" s="575"/>
      <c r="D280" s="598"/>
      <c r="E280" s="518"/>
      <c r="F280" s="598"/>
      <c r="G280" s="518"/>
      <c r="H280" s="598"/>
      <c r="I280" s="518"/>
      <c r="J280" s="604"/>
      <c r="K280" s="605"/>
      <c r="L280" s="476"/>
      <c r="N280" s="606"/>
      <c r="O280" s="335"/>
    </row>
    <row r="281" spans="1:15" ht="21.75" hidden="1" customHeight="1">
      <c r="A281" s="512"/>
      <c r="B281" s="576"/>
      <c r="C281" s="575"/>
      <c r="D281" s="598"/>
      <c r="E281" s="518"/>
      <c r="F281" s="598"/>
      <c r="G281" s="518"/>
      <c r="H281" s="598"/>
      <c r="I281" s="518"/>
      <c r="J281" s="604"/>
      <c r="K281" s="605"/>
      <c r="L281" s="476"/>
      <c r="N281" s="606"/>
      <c r="O281" s="335"/>
    </row>
    <row r="282" spans="1:15" ht="21.75" hidden="1" customHeight="1">
      <c r="A282" s="512"/>
      <c r="B282" s="576"/>
      <c r="C282" s="575"/>
      <c r="D282" s="598"/>
      <c r="E282" s="518"/>
      <c r="F282" s="598"/>
      <c r="G282" s="518"/>
      <c r="H282" s="598"/>
      <c r="I282" s="518"/>
      <c r="J282" s="604"/>
      <c r="K282" s="605"/>
      <c r="L282" s="476"/>
      <c r="N282" s="606"/>
      <c r="O282" s="335"/>
    </row>
    <row r="283" spans="1:15" ht="21.75" hidden="1" customHeight="1">
      <c r="A283" s="512"/>
      <c r="B283" s="576"/>
      <c r="C283" s="575"/>
      <c r="D283" s="598"/>
      <c r="E283" s="518"/>
      <c r="F283" s="598"/>
      <c r="G283" s="518"/>
      <c r="H283" s="598"/>
      <c r="I283" s="518"/>
      <c r="J283" s="604"/>
      <c r="K283" s="605"/>
      <c r="L283" s="476"/>
      <c r="N283" s="606"/>
      <c r="O283" s="335"/>
    </row>
    <row r="284" spans="1:15" ht="21.75" hidden="1" customHeight="1">
      <c r="A284" s="512"/>
      <c r="B284" s="576"/>
      <c r="C284" s="575"/>
      <c r="D284" s="598"/>
      <c r="E284" s="518"/>
      <c r="F284" s="598"/>
      <c r="G284" s="518"/>
      <c r="H284" s="598"/>
      <c r="I284" s="518"/>
      <c r="J284" s="604"/>
      <c r="K284" s="605"/>
      <c r="L284" s="476"/>
      <c r="N284" s="606"/>
      <c r="O284" s="335"/>
    </row>
    <row r="285" spans="1:15" ht="21.75" hidden="1" customHeight="1">
      <c r="A285" s="512"/>
      <c r="B285" s="576"/>
      <c r="C285" s="575"/>
      <c r="D285" s="598"/>
      <c r="E285" s="518"/>
      <c r="F285" s="598"/>
      <c r="G285" s="518"/>
      <c r="H285" s="598"/>
      <c r="I285" s="518"/>
      <c r="J285" s="604"/>
      <c r="K285" s="605"/>
      <c r="L285" s="476"/>
      <c r="N285" s="606"/>
      <c r="O285" s="335"/>
    </row>
    <row r="286" spans="1:15" ht="21.75" hidden="1" customHeight="1">
      <c r="A286" s="512"/>
      <c r="B286" s="576"/>
      <c r="C286" s="575"/>
      <c r="D286" s="598"/>
      <c r="E286" s="518"/>
      <c r="F286" s="598"/>
      <c r="G286" s="518"/>
      <c r="H286" s="598"/>
      <c r="I286" s="518"/>
      <c r="J286" s="604"/>
      <c r="K286" s="605"/>
      <c r="L286" s="476"/>
      <c r="N286" s="606"/>
      <c r="O286" s="335"/>
    </row>
    <row r="287" spans="1:15" ht="21.75" hidden="1" customHeight="1">
      <c r="A287" s="512"/>
      <c r="B287" s="576"/>
      <c r="C287" s="575"/>
      <c r="D287" s="598"/>
      <c r="E287" s="518"/>
      <c r="F287" s="598"/>
      <c r="G287" s="518"/>
      <c r="H287" s="598"/>
      <c r="I287" s="518"/>
      <c r="J287" s="604"/>
      <c r="K287" s="605"/>
      <c r="L287" s="476"/>
      <c r="N287" s="606"/>
      <c r="O287" s="335"/>
    </row>
    <row r="288" spans="1:15" ht="21.75" hidden="1" customHeight="1">
      <c r="A288" s="512"/>
      <c r="B288" s="576"/>
      <c r="C288" s="575"/>
      <c r="D288" s="598"/>
      <c r="E288" s="518"/>
      <c r="F288" s="598"/>
      <c r="G288" s="518"/>
      <c r="H288" s="598"/>
      <c r="I288" s="518"/>
      <c r="J288" s="604"/>
      <c r="K288" s="605"/>
      <c r="L288" s="476"/>
      <c r="N288" s="606"/>
      <c r="O288" s="335"/>
    </row>
    <row r="289" spans="1:18" ht="21.75" hidden="1" customHeight="1">
      <c r="A289" s="512"/>
      <c r="B289" s="576"/>
      <c r="C289" s="575"/>
      <c r="D289" s="598"/>
      <c r="E289" s="518"/>
      <c r="F289" s="598"/>
      <c r="G289" s="518"/>
      <c r="H289" s="598"/>
      <c r="I289" s="518"/>
      <c r="J289" s="604"/>
      <c r="K289" s="605"/>
      <c r="L289" s="476"/>
      <c r="N289" s="606"/>
      <c r="O289" s="335"/>
    </row>
    <row r="290" spans="1:18" ht="21.75" hidden="1" customHeight="1">
      <c r="A290" s="512"/>
      <c r="B290" s="576"/>
      <c r="C290" s="575"/>
      <c r="D290" s="598"/>
      <c r="E290" s="518"/>
      <c r="F290" s="598"/>
      <c r="G290" s="518"/>
      <c r="H290" s="598"/>
      <c r="I290" s="518"/>
      <c r="J290" s="604"/>
      <c r="K290" s="605"/>
      <c r="L290" s="476"/>
      <c r="N290" s="606"/>
      <c r="O290" s="335"/>
    </row>
    <row r="291" spans="1:18" ht="20" hidden="1">
      <c r="A291" s="391"/>
      <c r="B291" s="576"/>
      <c r="C291" s="575"/>
      <c r="D291" s="598"/>
      <c r="E291" s="518"/>
      <c r="F291" s="598"/>
      <c r="G291" s="518"/>
      <c r="H291" s="598"/>
      <c r="I291" s="518"/>
      <c r="J291" s="604"/>
      <c r="K291" s="605"/>
      <c r="L291" s="476"/>
      <c r="N291" s="606"/>
      <c r="O291" s="335"/>
    </row>
    <row r="292" spans="1:18" ht="20" hidden="1">
      <c r="A292" s="512"/>
      <c r="B292" s="576"/>
      <c r="C292" s="575"/>
      <c r="D292" s="598"/>
      <c r="E292" s="518"/>
      <c r="F292" s="598"/>
      <c r="G292" s="518"/>
      <c r="H292" s="598"/>
      <c r="I292" s="518"/>
      <c r="J292" s="604"/>
      <c r="K292" s="605"/>
      <c r="L292" s="476"/>
      <c r="N292" s="557"/>
      <c r="O292" s="335"/>
    </row>
    <row r="293" spans="1:18" ht="20" hidden="1">
      <c r="A293" s="512"/>
      <c r="B293" s="576"/>
      <c r="C293" s="575"/>
      <c r="D293" s="598"/>
      <c r="E293" s="518"/>
      <c r="F293" s="598"/>
      <c r="G293" s="518"/>
      <c r="H293" s="598"/>
      <c r="I293" s="518"/>
      <c r="J293" s="604"/>
      <c r="K293" s="605"/>
      <c r="L293" s="476"/>
      <c r="N293" s="557"/>
      <c r="O293" s="335"/>
    </row>
    <row r="294" spans="1:18" ht="20" hidden="1">
      <c r="A294" s="391"/>
      <c r="B294" s="576"/>
      <c r="C294" s="575"/>
      <c r="D294" s="598"/>
      <c r="E294" s="518"/>
      <c r="F294" s="598"/>
      <c r="G294" s="518"/>
      <c r="H294" s="598"/>
      <c r="I294" s="518"/>
      <c r="J294" s="604"/>
      <c r="K294" s="605"/>
      <c r="L294" s="476"/>
      <c r="N294" s="557"/>
      <c r="O294" s="335"/>
    </row>
    <row r="295" spans="1:18" ht="20" hidden="1">
      <c r="A295" s="512"/>
      <c r="B295" s="576"/>
      <c r="C295" s="575"/>
      <c r="D295" s="598"/>
      <c r="E295" s="518"/>
      <c r="F295" s="598"/>
      <c r="G295" s="518"/>
      <c r="H295" s="598"/>
      <c r="I295" s="518"/>
      <c r="J295" s="604"/>
      <c r="K295" s="605"/>
      <c r="L295" s="476"/>
      <c r="N295" s="557"/>
      <c r="O295" s="335"/>
    </row>
    <row r="296" spans="1:18" ht="20" hidden="1">
      <c r="A296" s="512"/>
      <c r="B296" s="576"/>
      <c r="C296" s="575"/>
      <c r="D296" s="598"/>
      <c r="E296" s="518"/>
      <c r="F296" s="598"/>
      <c r="G296" s="518"/>
      <c r="H296" s="598"/>
      <c r="I296" s="518"/>
      <c r="J296" s="604"/>
      <c r="K296" s="605"/>
      <c r="L296" s="476"/>
      <c r="N296" s="557"/>
      <c r="O296" s="335"/>
    </row>
    <row r="297" spans="1:18" ht="20" hidden="1">
      <c r="A297" s="391"/>
      <c r="B297" s="576"/>
      <c r="C297" s="575"/>
      <c r="D297" s="598"/>
      <c r="E297" s="518"/>
      <c r="F297" s="598"/>
      <c r="G297" s="518"/>
      <c r="H297" s="598"/>
      <c r="I297" s="518"/>
      <c r="J297" s="604"/>
      <c r="K297" s="605"/>
      <c r="L297" s="476"/>
      <c r="N297" s="557"/>
      <c r="O297" s="335"/>
    </row>
    <row r="298" spans="1:18" ht="20" hidden="1">
      <c r="A298" s="512"/>
      <c r="B298" s="576"/>
      <c r="C298" s="575"/>
      <c r="D298" s="598"/>
      <c r="E298" s="518"/>
      <c r="F298" s="598"/>
      <c r="G298" s="518"/>
      <c r="H298" s="598"/>
      <c r="I298" s="518"/>
      <c r="J298" s="604"/>
      <c r="K298" s="605"/>
      <c r="L298" s="476"/>
      <c r="N298" s="557"/>
      <c r="O298" s="335"/>
    </row>
    <row r="299" spans="1:18" ht="20" hidden="1">
      <c r="A299" s="512"/>
      <c r="B299" s="576"/>
      <c r="C299" s="575"/>
      <c r="D299" s="598"/>
      <c r="E299" s="518"/>
      <c r="F299" s="598"/>
      <c r="G299" s="518"/>
      <c r="H299" s="598"/>
      <c r="I299" s="518"/>
      <c r="J299" s="604"/>
      <c r="K299" s="605"/>
      <c r="L299" s="476"/>
      <c r="N299" s="557"/>
      <c r="O299" s="335"/>
    </row>
    <row r="300" spans="1:18" ht="20" hidden="1">
      <c r="A300" s="512"/>
      <c r="B300" s="576"/>
      <c r="C300" s="575"/>
      <c r="D300" s="598"/>
      <c r="E300" s="518"/>
      <c r="F300" s="598"/>
      <c r="G300" s="518"/>
      <c r="H300" s="598"/>
      <c r="I300" s="518"/>
      <c r="J300" s="604"/>
      <c r="K300" s="605"/>
      <c r="L300" s="476"/>
      <c r="N300" s="557"/>
      <c r="O300" s="335"/>
    </row>
    <row r="301" spans="1:18" ht="20" hidden="1">
      <c r="A301" s="512"/>
      <c r="B301" s="576"/>
      <c r="C301" s="575"/>
      <c r="D301" s="598"/>
      <c r="E301" s="518"/>
      <c r="F301" s="598"/>
      <c r="G301" s="518"/>
      <c r="H301" s="598"/>
      <c r="I301" s="518"/>
      <c r="J301" s="604"/>
      <c r="K301" s="605"/>
      <c r="L301" s="476"/>
      <c r="N301" s="557"/>
      <c r="O301" s="335"/>
    </row>
    <row r="302" spans="1:18" ht="8.25" customHeight="1">
      <c r="A302" s="391"/>
      <c r="B302" s="507"/>
      <c r="C302" s="508"/>
      <c r="D302" s="607"/>
      <c r="E302" s="518"/>
      <c r="F302" s="607"/>
      <c r="G302" s="518"/>
      <c r="H302" s="607"/>
      <c r="I302" s="518"/>
      <c r="J302" s="608"/>
      <c r="K302" s="605"/>
      <c r="L302" s="476"/>
      <c r="N302" s="335"/>
      <c r="O302" s="335"/>
    </row>
    <row r="303" spans="1:18" ht="20">
      <c r="A303" s="512"/>
      <c r="B303" s="507"/>
      <c r="C303" s="508"/>
      <c r="D303" s="507"/>
      <c r="E303" s="509"/>
      <c r="F303" s="507"/>
      <c r="G303" s="509"/>
      <c r="H303" s="608"/>
      <c r="I303" s="614"/>
      <c r="J303" s="617">
        <f>SUM(J234:J274)</f>
        <v>118500</v>
      </c>
      <c r="K303" s="618"/>
      <c r="L303" s="476"/>
      <c r="N303" s="619"/>
      <c r="O303" s="335"/>
    </row>
    <row r="304" spans="1:18" s="335" customFormat="1" ht="7.5" customHeight="1">
      <c r="A304" s="391"/>
      <c r="B304" s="509"/>
      <c r="C304" s="508"/>
      <c r="E304" s="518"/>
      <c r="F304" s="518"/>
      <c r="G304" s="519"/>
      <c r="H304" s="518"/>
      <c r="I304" s="553"/>
      <c r="J304" s="554"/>
      <c r="K304" s="555"/>
      <c r="L304" s="556"/>
      <c r="M304" s="497"/>
      <c r="N304" s="497"/>
      <c r="O304" s="557"/>
      <c r="Q304" s="497"/>
      <c r="R304" s="497"/>
    </row>
    <row r="305" spans="1:18" ht="20">
      <c r="A305" s="512"/>
      <c r="B305" s="576" t="s">
        <v>261</v>
      </c>
      <c r="C305" s="575"/>
      <c r="D305" s="604">
        <f>P58</f>
        <v>18</v>
      </c>
      <c r="E305" s="604"/>
      <c r="F305" s="576" t="s">
        <v>262</v>
      </c>
      <c r="G305" s="509"/>
      <c r="H305" s="507"/>
      <c r="I305" s="509"/>
      <c r="J305" s="620">
        <f>J303*D305/100</f>
        <v>21330</v>
      </c>
      <c r="K305" s="618"/>
      <c r="L305" s="476"/>
    </row>
    <row r="306" spans="1:18" s="335" customFormat="1" ht="7.5" customHeight="1">
      <c r="A306" s="391"/>
      <c r="B306" s="509"/>
      <c r="C306" s="508"/>
      <c r="E306" s="518"/>
      <c r="F306" s="518"/>
      <c r="G306" s="519"/>
      <c r="H306" s="518"/>
      <c r="I306" s="553"/>
      <c r="J306" s="554"/>
      <c r="K306" s="555"/>
      <c r="L306" s="556"/>
      <c r="M306" s="497"/>
      <c r="N306" s="497"/>
      <c r="O306" s="557"/>
      <c r="Q306" s="497"/>
      <c r="R306" s="497"/>
    </row>
    <row r="307" spans="1:18" ht="20">
      <c r="A307" s="391"/>
      <c r="B307" s="507"/>
      <c r="C307" s="508"/>
      <c r="D307" s="507"/>
      <c r="E307" s="509"/>
      <c r="F307" s="507"/>
      <c r="G307" s="509"/>
      <c r="H307" s="608" t="s">
        <v>263</v>
      </c>
      <c r="I307" s="614"/>
      <c r="J307" s="611">
        <f>SUM(J303:J305)</f>
        <v>139830</v>
      </c>
      <c r="K307" s="618"/>
      <c r="L307" s="476"/>
    </row>
    <row r="308" spans="1:18" ht="20">
      <c r="A308" s="391"/>
      <c r="B308" s="609" t="s">
        <v>264</v>
      </c>
      <c r="C308" s="580"/>
      <c r="D308" s="202"/>
      <c r="E308" s="610"/>
      <c r="F308" s="611">
        <f>J307</f>
        <v>139830</v>
      </c>
      <c r="G308" s="509"/>
      <c r="H308" s="608"/>
      <c r="I308" s="614"/>
      <c r="J308" s="608"/>
      <c r="K308" s="605"/>
      <c r="L308" s="548"/>
      <c r="M308" s="19"/>
    </row>
    <row r="309" spans="1:18" ht="20" hidden="1">
      <c r="A309" s="391"/>
      <c r="B309" s="202"/>
      <c r="C309" s="580"/>
      <c r="D309" s="612"/>
      <c r="E309" s="613"/>
      <c r="F309" s="608"/>
      <c r="G309" s="614"/>
      <c r="H309" s="608"/>
      <c r="I309" s="614"/>
      <c r="J309" s="608"/>
      <c r="K309" s="605"/>
      <c r="L309" s="548"/>
      <c r="M309" s="19"/>
    </row>
    <row r="310" spans="1:18" ht="15.5" hidden="1">
      <c r="A310" s="391"/>
      <c r="B310" s="21"/>
      <c r="C310" s="615"/>
      <c r="D310" s="240"/>
      <c r="E310" s="616"/>
      <c r="F310" s="19"/>
      <c r="G310" s="497"/>
      <c r="H310" s="19"/>
      <c r="I310" s="497"/>
      <c r="J310" s="19"/>
      <c r="K310" s="497"/>
      <c r="L310" s="548"/>
      <c r="M310" s="19"/>
      <c r="N310" s="19"/>
      <c r="O310" s="19"/>
      <c r="P310" s="551"/>
    </row>
    <row r="311" spans="1:18" ht="15.5">
      <c r="A311" s="391"/>
      <c r="B311" s="21"/>
      <c r="C311" s="615"/>
      <c r="D311" s="240"/>
      <c r="E311" s="616"/>
      <c r="F311" s="19"/>
      <c r="G311" s="497"/>
      <c r="H311" s="19"/>
      <c r="I311" s="497"/>
      <c r="J311" s="19"/>
      <c r="K311" s="497"/>
      <c r="L311" s="548"/>
      <c r="M311" s="19"/>
      <c r="N311" s="19"/>
      <c r="O311" s="19"/>
      <c r="P311" s="551"/>
    </row>
    <row r="312" spans="1:18" ht="15.5">
      <c r="A312" s="391"/>
      <c r="B312" s="21"/>
      <c r="C312" s="615"/>
      <c r="D312" s="240"/>
      <c r="E312" s="616"/>
      <c r="F312" s="19"/>
      <c r="G312" s="497"/>
      <c r="H312" s="19"/>
      <c r="I312" s="497"/>
      <c r="J312" s="19"/>
      <c r="K312" s="497"/>
      <c r="L312" s="548"/>
      <c r="M312" s="19"/>
      <c r="N312" s="19"/>
      <c r="O312" s="19"/>
      <c r="P312" s="551"/>
    </row>
    <row r="313" spans="1:18" ht="15.5">
      <c r="A313" s="391"/>
      <c r="B313" s="21"/>
      <c r="C313" s="615"/>
      <c r="D313" s="240"/>
      <c r="E313" s="616"/>
      <c r="F313" s="19"/>
      <c r="G313" s="497"/>
      <c r="H313" s="19"/>
      <c r="I313" s="497"/>
      <c r="J313" s="19"/>
      <c r="K313" s="497"/>
      <c r="L313" s="548"/>
      <c r="M313" s="19"/>
      <c r="N313" s="19"/>
      <c r="O313" s="19"/>
      <c r="P313" s="551"/>
    </row>
    <row r="314" spans="1:18" ht="15.5">
      <c r="A314" s="391"/>
      <c r="B314" s="21"/>
      <c r="C314" s="615"/>
      <c r="D314" s="240"/>
      <c r="E314" s="616"/>
      <c r="F314" s="19"/>
      <c r="G314" s="497"/>
      <c r="H314" s="19"/>
      <c r="I314" s="497"/>
      <c r="J314" s="19"/>
      <c r="K314" s="497"/>
      <c r="L314" s="548"/>
      <c r="M314" s="19"/>
      <c r="N314" s="19"/>
      <c r="O314" s="19"/>
      <c r="P314" s="551"/>
    </row>
    <row r="315" spans="1:18" ht="15.5">
      <c r="A315" s="391"/>
      <c r="B315" s="21"/>
      <c r="C315" s="615"/>
      <c r="D315" s="240"/>
      <c r="E315" s="616"/>
      <c r="F315" s="19"/>
      <c r="G315" s="497"/>
      <c r="H315" s="19"/>
      <c r="I315" s="497"/>
      <c r="J315" s="19"/>
      <c r="K315" s="497"/>
      <c r="L315" s="548"/>
      <c r="M315" s="19"/>
      <c r="N315" s="19"/>
      <c r="O315" s="19"/>
      <c r="P315" s="551"/>
    </row>
    <row r="316" spans="1:18" ht="15.5">
      <c r="A316" s="391"/>
      <c r="B316" s="21"/>
      <c r="C316" s="615"/>
      <c r="D316" s="240"/>
      <c r="E316" s="616"/>
      <c r="F316" s="19"/>
      <c r="G316" s="497"/>
      <c r="H316" s="19"/>
      <c r="I316" s="497"/>
      <c r="J316" s="19"/>
      <c r="K316" s="497"/>
      <c r="L316" s="548"/>
      <c r="M316" s="19"/>
      <c r="N316" s="19"/>
      <c r="O316" s="19"/>
      <c r="P316" s="551"/>
    </row>
    <row r="317" spans="1:18" ht="15.5">
      <c r="A317" s="391"/>
      <c r="B317" s="21"/>
      <c r="C317" s="615"/>
      <c r="D317" s="240"/>
      <c r="E317" s="616"/>
      <c r="F317" s="19"/>
      <c r="G317" s="497"/>
      <c r="H317" s="19"/>
      <c r="I317" s="497"/>
      <c r="J317" s="19"/>
      <c r="K317" s="497"/>
      <c r="L317" s="548"/>
      <c r="M317" s="19"/>
      <c r="N317" s="19"/>
      <c r="O317" s="19"/>
      <c r="P317" s="551"/>
    </row>
    <row r="318" spans="1:18" ht="15.5">
      <c r="A318" s="391"/>
      <c r="B318" s="21"/>
      <c r="C318" s="615"/>
      <c r="D318" s="240"/>
      <c r="E318" s="616"/>
      <c r="F318" s="19"/>
      <c r="G318" s="497"/>
      <c r="H318" s="19"/>
      <c r="I318" s="497"/>
      <c r="J318" s="19"/>
      <c r="K318" s="497"/>
      <c r="L318" s="548"/>
      <c r="M318" s="19"/>
      <c r="N318" s="19"/>
      <c r="O318" s="19"/>
      <c r="P318" s="551"/>
    </row>
    <row r="319" spans="1:18" ht="15.5">
      <c r="A319" s="391"/>
      <c r="B319" s="21"/>
      <c r="C319" s="615"/>
      <c r="D319" s="240"/>
      <c r="E319" s="616"/>
      <c r="F319" s="19"/>
      <c r="G319" s="497"/>
      <c r="H319" s="19"/>
      <c r="I319" s="497"/>
      <c r="J319" s="19"/>
      <c r="K319" s="497"/>
      <c r="L319" s="548"/>
      <c r="M319" s="19"/>
      <c r="N319" s="19"/>
      <c r="O319" s="19"/>
      <c r="P319" s="551"/>
    </row>
    <row r="320" spans="1:18" ht="15.5">
      <c r="A320" s="391"/>
      <c r="B320" s="21"/>
      <c r="C320" s="615"/>
      <c r="D320" s="240"/>
      <c r="E320" s="616"/>
      <c r="F320" s="19"/>
      <c r="G320" s="497"/>
      <c r="H320" s="19"/>
      <c r="I320" s="497"/>
      <c r="J320" s="19"/>
      <c r="K320" s="497"/>
      <c r="L320" s="548"/>
      <c r="M320" s="19"/>
      <c r="N320" s="19"/>
      <c r="O320" s="19"/>
      <c r="P320" s="551"/>
    </row>
    <row r="321" spans="1:16" ht="15.5">
      <c r="A321" s="391"/>
      <c r="B321" s="21"/>
      <c r="C321" s="615"/>
      <c r="D321" s="240"/>
      <c r="E321" s="616"/>
      <c r="F321" s="19"/>
      <c r="G321" s="497"/>
      <c r="H321" s="19"/>
      <c r="I321" s="497"/>
      <c r="J321" s="19"/>
      <c r="K321" s="497"/>
      <c r="L321" s="548"/>
      <c r="M321" s="19"/>
      <c r="N321" s="19"/>
      <c r="O321" s="19"/>
      <c r="P321" s="551"/>
    </row>
    <row r="322" spans="1:16" ht="15.5">
      <c r="A322" s="391"/>
      <c r="B322" s="21"/>
      <c r="C322" s="615"/>
      <c r="D322" s="240"/>
      <c r="E322" s="616"/>
      <c r="F322" s="19"/>
      <c r="G322" s="497"/>
      <c r="H322" s="19"/>
      <c r="I322" s="497"/>
      <c r="J322" s="19"/>
      <c r="K322" s="497"/>
      <c r="L322" s="548"/>
      <c r="M322" s="19"/>
      <c r="N322" s="19"/>
      <c r="O322" s="19"/>
      <c r="P322" s="551"/>
    </row>
    <row r="323" spans="1:16" ht="15.5">
      <c r="A323" s="391"/>
      <c r="B323" s="21"/>
      <c r="C323" s="615"/>
      <c r="D323" s="240"/>
      <c r="E323" s="616"/>
      <c r="F323" s="19"/>
      <c r="G323" s="497"/>
      <c r="H323" s="19"/>
      <c r="I323" s="497"/>
      <c r="J323" s="19"/>
      <c r="K323" s="497"/>
      <c r="L323" s="548"/>
      <c r="M323" s="19"/>
      <c r="N323" s="19"/>
      <c r="O323" s="19"/>
      <c r="P323" s="551"/>
    </row>
    <row r="324" spans="1:16" ht="15.5">
      <c r="A324" s="391"/>
      <c r="B324" s="21"/>
      <c r="C324" s="615"/>
      <c r="D324" s="240"/>
      <c r="E324" s="616"/>
      <c r="F324" s="19"/>
      <c r="G324" s="497"/>
      <c r="H324" s="19"/>
      <c r="I324" s="497"/>
      <c r="J324" s="19"/>
      <c r="K324" s="497"/>
      <c r="L324" s="548"/>
      <c r="M324" s="19"/>
      <c r="N324" s="19"/>
      <c r="O324" s="19"/>
      <c r="P324" s="551"/>
    </row>
    <row r="325" spans="1:16" ht="15.5">
      <c r="A325" s="391"/>
      <c r="B325" s="21"/>
      <c r="C325" s="615"/>
      <c r="D325" s="240"/>
      <c r="E325" s="616"/>
      <c r="F325" s="19"/>
      <c r="G325" s="497"/>
      <c r="H325" s="19"/>
      <c r="I325" s="497"/>
      <c r="J325" s="19"/>
      <c r="K325" s="497"/>
      <c r="L325" s="548"/>
      <c r="M325" s="19"/>
      <c r="N325" s="19"/>
      <c r="O325" s="19"/>
      <c r="P325" s="551"/>
    </row>
    <row r="326" spans="1:16" ht="15.5" hidden="1">
      <c r="A326" s="391"/>
      <c r="B326" s="21"/>
      <c r="C326" s="615"/>
      <c r="D326" s="240"/>
      <c r="E326" s="616"/>
      <c r="F326" s="19"/>
      <c r="G326" s="497"/>
      <c r="H326" s="19"/>
      <c r="I326" s="497"/>
      <c r="J326" s="19"/>
      <c r="K326" s="497"/>
      <c r="L326" s="548"/>
      <c r="M326" s="19"/>
      <c r="N326" s="19"/>
      <c r="O326" s="19"/>
      <c r="P326" s="551"/>
    </row>
    <row r="327" spans="1:16" ht="15.5" hidden="1">
      <c r="A327" s="391"/>
      <c r="B327" s="21"/>
      <c r="C327" s="615"/>
      <c r="D327" s="240"/>
      <c r="E327" s="616"/>
      <c r="F327" s="19"/>
      <c r="G327" s="497"/>
      <c r="H327" s="19"/>
      <c r="I327" s="497"/>
      <c r="J327" s="19"/>
      <c r="K327" s="497"/>
      <c r="L327" s="548"/>
      <c r="M327" s="19"/>
      <c r="N327" s="19"/>
      <c r="O327" s="19"/>
      <c r="P327" s="551"/>
    </row>
    <row r="328" spans="1:16" ht="15.5" hidden="1">
      <c r="A328" s="391"/>
      <c r="B328" s="21"/>
      <c r="C328" s="615"/>
      <c r="D328" s="240"/>
      <c r="E328" s="616"/>
      <c r="F328" s="19"/>
      <c r="G328" s="497"/>
      <c r="H328" s="19"/>
      <c r="I328" s="497"/>
      <c r="J328" s="19"/>
      <c r="K328" s="497"/>
      <c r="L328" s="548"/>
      <c r="M328" s="19"/>
      <c r="N328" s="19"/>
      <c r="O328" s="19"/>
      <c r="P328" s="551"/>
    </row>
    <row r="329" spans="1:16" ht="15.5">
      <c r="A329" s="391"/>
      <c r="B329" s="21"/>
      <c r="C329" s="615"/>
      <c r="D329" s="240"/>
      <c r="E329" s="616"/>
      <c r="F329" s="19"/>
      <c r="G329" s="497"/>
      <c r="H329" s="19"/>
      <c r="I329" s="497"/>
      <c r="J329" s="19"/>
      <c r="K329" s="497"/>
      <c r="L329" s="548"/>
      <c r="M329" s="19"/>
      <c r="N329" s="19"/>
      <c r="O329" s="19"/>
      <c r="P329" s="551"/>
    </row>
    <row r="330" spans="1:16" ht="15.5">
      <c r="A330" s="391"/>
      <c r="B330" s="21"/>
      <c r="C330" s="615"/>
      <c r="D330" s="240"/>
      <c r="E330" s="616"/>
      <c r="F330" s="19"/>
      <c r="G330" s="497"/>
      <c r="H330" s="19"/>
      <c r="I330" s="497"/>
      <c r="J330" s="19"/>
      <c r="K330" s="497"/>
      <c r="L330" s="548"/>
      <c r="M330" s="19"/>
      <c r="N330" s="19"/>
      <c r="O330" s="19"/>
      <c r="P330" s="551"/>
    </row>
    <row r="331" spans="1:16" ht="15.5">
      <c r="A331" s="391"/>
      <c r="B331" s="21"/>
      <c r="C331" s="615"/>
      <c r="D331" s="240"/>
      <c r="E331" s="616"/>
      <c r="F331" s="19"/>
      <c r="G331" s="497"/>
      <c r="H331" s="19"/>
      <c r="I331" s="497"/>
      <c r="J331" s="19"/>
      <c r="K331" s="497"/>
      <c r="L331" s="548"/>
      <c r="M331" s="19"/>
      <c r="N331" s="19"/>
      <c r="O331" s="19"/>
      <c r="P331" s="551"/>
    </row>
    <row r="332" spans="1:16" ht="15.5">
      <c r="A332" s="391"/>
      <c r="B332" s="21"/>
      <c r="C332" s="615"/>
      <c r="D332" s="240"/>
      <c r="E332" s="616"/>
      <c r="F332" s="19"/>
      <c r="G332" s="497"/>
      <c r="H332" s="19"/>
      <c r="I332" s="497"/>
      <c r="J332" s="19"/>
      <c r="K332" s="497"/>
      <c r="L332" s="548"/>
      <c r="M332" s="19"/>
      <c r="N332" s="19"/>
      <c r="O332" s="19"/>
      <c r="P332" s="551"/>
    </row>
    <row r="333" spans="1:16" ht="15.5">
      <c r="A333" s="391"/>
      <c r="B333" s="21"/>
      <c r="C333" s="615"/>
      <c r="D333" s="240"/>
      <c r="E333" s="616"/>
      <c r="F333" s="19"/>
      <c r="G333" s="497"/>
      <c r="H333" s="19"/>
      <c r="I333" s="497"/>
      <c r="J333" s="19"/>
      <c r="K333" s="497"/>
      <c r="L333" s="548"/>
      <c r="M333" s="19"/>
      <c r="N333" s="19"/>
      <c r="O333" s="19"/>
      <c r="P333" s="551"/>
    </row>
    <row r="334" spans="1:16" ht="15.5">
      <c r="A334" s="391"/>
      <c r="B334" s="21"/>
      <c r="C334" s="615"/>
      <c r="D334" s="240"/>
      <c r="E334" s="616"/>
      <c r="F334" s="19"/>
      <c r="G334" s="497"/>
      <c r="H334" s="19"/>
      <c r="I334" s="497"/>
      <c r="J334" s="19"/>
      <c r="K334" s="497"/>
      <c r="L334" s="548"/>
      <c r="M334" s="19"/>
      <c r="N334" s="19"/>
      <c r="O334" s="19"/>
      <c r="P334" s="551"/>
    </row>
    <row r="335" spans="1:16" ht="15.5">
      <c r="A335" s="391"/>
      <c r="B335" s="21"/>
      <c r="C335" s="615"/>
      <c r="D335" s="240"/>
      <c r="E335" s="616"/>
      <c r="F335" s="19"/>
      <c r="G335" s="497"/>
      <c r="H335" s="19"/>
      <c r="I335" s="497"/>
      <c r="J335" s="19"/>
      <c r="K335" s="497"/>
      <c r="L335" s="548"/>
      <c r="M335" s="19"/>
      <c r="N335" s="19"/>
      <c r="O335" s="19"/>
      <c r="P335" s="551"/>
    </row>
    <row r="336" spans="1:16" ht="15.5">
      <c r="A336" s="391"/>
      <c r="B336" s="21"/>
      <c r="C336" s="615"/>
      <c r="D336" s="240"/>
      <c r="E336" s="616"/>
      <c r="F336" s="19"/>
      <c r="G336" s="497"/>
      <c r="H336" s="19"/>
      <c r="I336" s="497"/>
      <c r="J336" s="19"/>
      <c r="K336" s="497"/>
      <c r="L336" s="548"/>
      <c r="M336" s="19"/>
      <c r="N336" s="19"/>
      <c r="O336" s="19"/>
      <c r="P336" s="551"/>
    </row>
    <row r="337" spans="1:18" ht="15.5" hidden="1">
      <c r="A337" s="391"/>
      <c r="B337" s="21"/>
      <c r="C337" s="615"/>
      <c r="D337" s="240"/>
      <c r="E337" s="616"/>
      <c r="F337" s="19"/>
      <c r="G337" s="497"/>
      <c r="H337" s="19"/>
      <c r="I337" s="497"/>
      <c r="J337" s="19"/>
      <c r="K337" s="497"/>
      <c r="L337" s="548"/>
      <c r="M337" s="19"/>
      <c r="N337" s="19"/>
      <c r="O337" s="19"/>
      <c r="P337" s="551"/>
    </row>
    <row r="338" spans="1:18" ht="15.5">
      <c r="A338" s="391"/>
      <c r="B338" s="21"/>
      <c r="C338" s="615"/>
      <c r="D338" s="240"/>
      <c r="E338" s="616"/>
      <c r="F338" s="19"/>
      <c r="G338" s="497"/>
      <c r="H338" s="19"/>
      <c r="I338" s="497"/>
      <c r="J338" s="19"/>
      <c r="K338" s="497"/>
      <c r="L338" s="548"/>
      <c r="M338" s="19"/>
      <c r="N338" s="19"/>
      <c r="O338" s="19"/>
      <c r="P338" s="551"/>
    </row>
    <row r="339" spans="1:18" ht="15.5">
      <c r="A339" s="391"/>
      <c r="B339" s="21"/>
      <c r="C339" s="615"/>
      <c r="D339" s="240"/>
      <c r="E339" s="616"/>
      <c r="F339" s="19"/>
      <c r="G339" s="497"/>
      <c r="H339" s="19"/>
      <c r="I339" s="497"/>
      <c r="J339" s="19"/>
      <c r="K339" s="497"/>
      <c r="L339" s="548"/>
      <c r="M339" s="19"/>
      <c r="N339" s="19"/>
      <c r="O339" s="19"/>
      <c r="P339" s="551"/>
    </row>
    <row r="340" spans="1:18" ht="15.5">
      <c r="A340" s="391"/>
      <c r="B340" s="21"/>
      <c r="C340" s="615"/>
      <c r="D340" s="240"/>
      <c r="E340" s="616"/>
      <c r="F340" s="19"/>
      <c r="G340" s="497"/>
      <c r="H340" s="19"/>
      <c r="I340" s="497"/>
      <c r="J340" s="19"/>
      <c r="K340" s="497"/>
      <c r="L340" s="548"/>
      <c r="M340" s="19"/>
      <c r="N340" s="19"/>
      <c r="O340" s="19"/>
      <c r="P340" s="551"/>
    </row>
    <row r="341" spans="1:18" ht="15.5">
      <c r="A341" s="391"/>
      <c r="B341" s="21"/>
      <c r="C341" s="615"/>
      <c r="D341" s="240"/>
      <c r="E341" s="616"/>
      <c r="F341" s="19"/>
      <c r="G341" s="497"/>
      <c r="H341" s="19"/>
      <c r="I341" s="497"/>
      <c r="J341" s="19"/>
      <c r="K341" s="497"/>
      <c r="L341" s="548"/>
      <c r="M341" s="19"/>
      <c r="N341" s="19"/>
      <c r="O341" s="19"/>
      <c r="P341" s="551"/>
    </row>
    <row r="342" spans="1:18" ht="15.5">
      <c r="A342" s="382"/>
      <c r="B342" s="621"/>
      <c r="C342" s="622"/>
      <c r="D342" s="623"/>
      <c r="E342" s="624"/>
      <c r="F342" s="584"/>
      <c r="G342" s="586"/>
      <c r="H342" s="584"/>
      <c r="I342" s="586"/>
      <c r="J342" s="584"/>
      <c r="K342" s="586"/>
      <c r="L342" s="645"/>
      <c r="M342" s="19"/>
      <c r="O342" s="19"/>
    </row>
    <row r="343" spans="1:18" ht="15.5">
      <c r="B343" s="21"/>
      <c r="C343" s="615"/>
      <c r="D343" s="240"/>
      <c r="E343" s="616"/>
      <c r="F343" s="19"/>
      <c r="G343" s="497"/>
      <c r="H343" s="19"/>
      <c r="I343" s="497"/>
      <c r="J343" s="19"/>
      <c r="K343" s="497"/>
      <c r="L343" s="19"/>
      <c r="M343" s="19"/>
      <c r="O343" s="19"/>
    </row>
    <row r="344" spans="1:18" ht="15.5">
      <c r="A344" s="383"/>
      <c r="B344" s="621"/>
      <c r="C344" s="622"/>
      <c r="D344" s="623"/>
      <c r="E344" s="624"/>
      <c r="F344" s="584"/>
      <c r="G344" s="586"/>
      <c r="H344" s="584"/>
      <c r="I344" s="586"/>
      <c r="J344" s="584"/>
      <c r="K344" s="586"/>
      <c r="L344" s="584"/>
      <c r="M344" s="19"/>
      <c r="O344" s="19"/>
    </row>
    <row r="345" spans="1:18" ht="15.5">
      <c r="A345" s="391"/>
      <c r="B345" s="21"/>
      <c r="C345" s="615"/>
      <c r="D345" s="240"/>
      <c r="E345" s="616"/>
      <c r="F345" s="19"/>
      <c r="G345" s="497"/>
      <c r="H345" s="19"/>
      <c r="I345" s="497"/>
      <c r="J345" s="19"/>
      <c r="K345" s="497"/>
      <c r="L345" s="548"/>
      <c r="M345" s="19"/>
      <c r="O345" s="19"/>
    </row>
    <row r="346" spans="1:18" ht="15.5">
      <c r="A346" s="391"/>
      <c r="B346" s="21"/>
      <c r="C346" s="615"/>
      <c r="D346" s="240"/>
      <c r="E346" s="616"/>
      <c r="F346" s="19"/>
      <c r="G346" s="497"/>
      <c r="H346" s="19"/>
      <c r="I346" s="497"/>
      <c r="J346" s="19"/>
      <c r="K346" s="497"/>
      <c r="L346" s="548"/>
      <c r="M346" s="19"/>
      <c r="O346" s="19"/>
    </row>
    <row r="347" spans="1:18" ht="15.5">
      <c r="A347" s="391"/>
      <c r="B347" s="21"/>
      <c r="C347" s="615"/>
      <c r="D347" s="240"/>
      <c r="E347" s="616"/>
      <c r="F347" s="19"/>
      <c r="G347" s="497"/>
      <c r="H347" s="19"/>
      <c r="I347" s="497"/>
      <c r="J347" s="19"/>
      <c r="K347" s="497"/>
      <c r="L347" s="548"/>
      <c r="M347" s="19"/>
      <c r="O347" s="19"/>
    </row>
    <row r="348" spans="1:18" ht="20">
      <c r="A348" s="512"/>
      <c r="B348" s="625" t="s">
        <v>265</v>
      </c>
      <c r="C348" s="580"/>
      <c r="D348" s="506"/>
      <c r="E348" s="613"/>
      <c r="F348" s="509"/>
      <c r="G348" s="509"/>
      <c r="H348" s="509"/>
      <c r="I348" s="509"/>
      <c r="J348" s="509"/>
      <c r="K348" s="509"/>
      <c r="L348" s="646"/>
      <c r="M348" s="100"/>
      <c r="O348" s="19"/>
    </row>
    <row r="349" spans="1:18" s="335" customFormat="1" ht="7.5" customHeight="1">
      <c r="A349" s="391"/>
      <c r="B349" s="509"/>
      <c r="C349" s="508"/>
      <c r="E349" s="518"/>
      <c r="F349" s="518"/>
      <c r="G349" s="519"/>
      <c r="H349" s="518"/>
      <c r="I349" s="553"/>
      <c r="J349" s="554"/>
      <c r="K349" s="555"/>
      <c r="L349" s="556"/>
      <c r="M349" s="497"/>
      <c r="N349" s="497"/>
      <c r="O349" s="557"/>
      <c r="Q349" s="497"/>
      <c r="R349" s="497"/>
    </row>
    <row r="350" spans="1:18" ht="20">
      <c r="A350" s="512"/>
      <c r="B350" s="576" t="s">
        <v>266</v>
      </c>
      <c r="C350" s="575"/>
      <c r="D350" s="576"/>
      <c r="E350" s="576"/>
      <c r="F350" s="576"/>
      <c r="G350" s="576"/>
      <c r="H350" s="576"/>
      <c r="I350" s="576"/>
      <c r="J350" s="576"/>
      <c r="K350" s="509"/>
      <c r="L350" s="647">
        <f>L167</f>
        <v>781000</v>
      </c>
      <c r="M350" s="100"/>
      <c r="O350" s="19"/>
    </row>
    <row r="351" spans="1:18" s="335" customFormat="1" ht="7.5" customHeight="1">
      <c r="A351" s="391"/>
      <c r="B351" s="509"/>
      <c r="C351" s="508"/>
      <c r="E351" s="518"/>
      <c r="F351" s="518"/>
      <c r="G351" s="519"/>
      <c r="H351" s="518"/>
      <c r="I351" s="553"/>
      <c r="J351" s="554"/>
      <c r="K351" s="555"/>
      <c r="L351" s="556"/>
      <c r="M351" s="497"/>
      <c r="N351" s="497"/>
      <c r="O351" s="557"/>
      <c r="Q351" s="497"/>
      <c r="R351" s="497"/>
    </row>
    <row r="352" spans="1:18" ht="20">
      <c r="A352" s="512"/>
      <c r="B352" s="576" t="s">
        <v>267</v>
      </c>
      <c r="C352" s="575"/>
      <c r="D352" s="576"/>
      <c r="E352" s="576"/>
      <c r="F352" s="576"/>
      <c r="G352" s="576"/>
      <c r="H352" s="576"/>
      <c r="I352" s="576"/>
      <c r="J352" s="576"/>
      <c r="K352" s="509"/>
      <c r="L352" s="647">
        <f>F308</f>
        <v>139830</v>
      </c>
      <c r="M352" s="100"/>
      <c r="O352" s="19"/>
    </row>
    <row r="353" spans="1:18" s="335" customFormat="1" ht="7.5" customHeight="1">
      <c r="A353" s="391"/>
      <c r="B353" s="509"/>
      <c r="C353" s="508"/>
      <c r="E353" s="518"/>
      <c r="F353" s="518"/>
      <c r="G353" s="519"/>
      <c r="H353" s="518"/>
      <c r="I353" s="553"/>
      <c r="J353" s="554"/>
      <c r="K353" s="555"/>
      <c r="L353" s="556"/>
      <c r="M353" s="497"/>
      <c r="N353" s="497"/>
      <c r="O353" s="557"/>
      <c r="Q353" s="497"/>
      <c r="R353" s="497"/>
    </row>
    <row r="354" spans="1:18" ht="20">
      <c r="A354" s="391"/>
      <c r="B354" s="509"/>
      <c r="C354" s="508"/>
      <c r="D354" s="335"/>
      <c r="E354" s="509"/>
      <c r="F354" s="509"/>
      <c r="G354" s="509"/>
      <c r="H354" s="509"/>
      <c r="I354" s="576"/>
      <c r="J354" s="491" t="s">
        <v>257</v>
      </c>
      <c r="K354" s="508"/>
      <c r="L354" s="583">
        <f>SUM(L350:L352)</f>
        <v>920830</v>
      </c>
      <c r="M354" s="100"/>
      <c r="O354" s="19"/>
    </row>
    <row r="355" spans="1:18" ht="15.5">
      <c r="A355" s="391"/>
      <c r="B355" s="19"/>
      <c r="C355" s="496"/>
      <c r="D355" s="19"/>
      <c r="E355" s="497"/>
      <c r="F355" s="19"/>
      <c r="G355" s="497"/>
      <c r="H355" s="19"/>
      <c r="I355" s="497"/>
      <c r="J355" s="19"/>
      <c r="K355" s="497"/>
      <c r="L355" s="648"/>
      <c r="M355" s="100"/>
      <c r="O355" s="19"/>
    </row>
    <row r="356" spans="1:18" ht="15.5">
      <c r="A356" s="391"/>
      <c r="B356" s="19"/>
      <c r="C356" s="496"/>
      <c r="D356" s="19"/>
      <c r="E356" s="497"/>
      <c r="F356" s="19"/>
      <c r="G356" s="497"/>
      <c r="H356" s="19"/>
      <c r="I356" s="497"/>
      <c r="J356" s="19"/>
      <c r="K356" s="497"/>
      <c r="L356" s="548"/>
      <c r="M356" s="19"/>
      <c r="O356" s="19"/>
      <c r="R356" s="19"/>
    </row>
    <row r="357" spans="1:18" ht="20">
      <c r="A357" s="391"/>
      <c r="B357" s="626" t="s">
        <v>268</v>
      </c>
      <c r="C357" s="627"/>
      <c r="D357" s="41"/>
      <c r="E357" s="497"/>
      <c r="F357" s="19"/>
      <c r="G357" s="497"/>
      <c r="H357" s="19"/>
      <c r="I357" s="497"/>
      <c r="J357" s="19"/>
      <c r="K357" s="497"/>
      <c r="L357" s="548"/>
      <c r="M357" s="19"/>
      <c r="O357" s="19"/>
      <c r="Q357" s="19"/>
      <c r="R357" s="19"/>
    </row>
    <row r="358" spans="1:18" ht="20">
      <c r="A358" s="628"/>
      <c r="B358" s="240"/>
      <c r="C358" s="629"/>
      <c r="D358" s="19"/>
      <c r="E358" s="497"/>
      <c r="F358" s="19"/>
      <c r="H358" s="5"/>
      <c r="I358" s="497"/>
      <c r="L358" s="476"/>
      <c r="M358" s="19"/>
      <c r="O358" s="19"/>
      <c r="Q358" s="19"/>
      <c r="R358" s="19"/>
    </row>
    <row r="359" spans="1:18" ht="20">
      <c r="A359" s="512"/>
      <c r="B359" s="507"/>
      <c r="C359" s="508"/>
      <c r="E359" s="630"/>
      <c r="F359" s="631" t="s">
        <v>269</v>
      </c>
      <c r="G359" s="632"/>
      <c r="H359" s="631" t="s">
        <v>270</v>
      </c>
      <c r="I359" s="649"/>
      <c r="J359" s="631" t="s">
        <v>263</v>
      </c>
      <c r="K359" s="555"/>
      <c r="L359" s="476"/>
      <c r="M359" s="19"/>
      <c r="O359" s="19"/>
      <c r="P359" s="121"/>
      <c r="Q359" s="19"/>
      <c r="R359" s="19"/>
    </row>
    <row r="360" spans="1:18" s="335" customFormat="1" ht="7.5" customHeight="1">
      <c r="A360" s="628"/>
      <c r="B360" s="509"/>
      <c r="C360" s="508"/>
      <c r="E360" s="518"/>
      <c r="F360" s="518"/>
      <c r="G360" s="519"/>
      <c r="H360" s="518"/>
      <c r="I360" s="553"/>
      <c r="J360" s="554"/>
      <c r="K360" s="555"/>
      <c r="L360" s="556"/>
      <c r="M360" s="497"/>
      <c r="N360" s="497"/>
      <c r="O360" s="557"/>
      <c r="Q360" s="497"/>
      <c r="R360" s="497"/>
    </row>
    <row r="361" spans="1:18" ht="20">
      <c r="A361" s="512"/>
      <c r="B361" s="576" t="s">
        <v>271</v>
      </c>
      <c r="C361" s="575"/>
      <c r="D361" s="633"/>
      <c r="E361" s="518"/>
      <c r="F361" s="598">
        <f>J361-H361</f>
        <v>195250</v>
      </c>
      <c r="G361" s="519"/>
      <c r="H361" s="598">
        <f>J361*75/100</f>
        <v>585750</v>
      </c>
      <c r="I361" s="553"/>
      <c r="J361" s="650">
        <f>SUM(L350)</f>
        <v>781000</v>
      </c>
      <c r="K361" s="555"/>
      <c r="L361" s="476"/>
      <c r="M361" s="19"/>
      <c r="N361" s="100"/>
      <c r="O361" s="551"/>
      <c r="Q361" s="19"/>
      <c r="R361" s="19"/>
    </row>
    <row r="362" spans="1:18" s="335" customFormat="1" ht="7.5" customHeight="1">
      <c r="A362" s="628"/>
      <c r="B362" s="509"/>
      <c r="C362" s="508"/>
      <c r="E362" s="518"/>
      <c r="F362" s="518"/>
      <c r="G362" s="519"/>
      <c r="H362" s="518"/>
      <c r="I362" s="553"/>
      <c r="J362" s="554"/>
      <c r="K362" s="555"/>
      <c r="L362" s="556"/>
      <c r="M362" s="497"/>
      <c r="N362" s="497"/>
      <c r="O362" s="557"/>
      <c r="Q362" s="497"/>
      <c r="R362" s="497"/>
    </row>
    <row r="363" spans="1:18" ht="20">
      <c r="A363" s="512"/>
      <c r="B363" s="576" t="s">
        <v>272</v>
      </c>
      <c r="C363" s="575"/>
      <c r="D363" s="633"/>
      <c r="E363" s="518"/>
      <c r="F363" s="598">
        <f>J363-H363</f>
        <v>89830</v>
      </c>
      <c r="G363" s="519"/>
      <c r="H363" s="598">
        <v>50000</v>
      </c>
      <c r="I363" s="553"/>
      <c r="J363" s="650">
        <f>SUM(L352)</f>
        <v>139830</v>
      </c>
      <c r="K363" s="555"/>
      <c r="L363" s="476"/>
      <c r="M363" s="19"/>
      <c r="N363" s="651">
        <f>J363*75/100</f>
        <v>104872.5</v>
      </c>
      <c r="O363" s="19"/>
      <c r="P363" s="7"/>
      <c r="Q363" s="19"/>
      <c r="R363" s="19"/>
    </row>
    <row r="364" spans="1:18" s="335" customFormat="1" ht="7.5" customHeight="1">
      <c r="A364" s="628"/>
      <c r="B364" s="509"/>
      <c r="C364" s="508"/>
      <c r="E364" s="518"/>
      <c r="F364" s="518"/>
      <c r="G364" s="519"/>
      <c r="H364" s="518"/>
      <c r="I364" s="553"/>
      <c r="J364" s="554"/>
      <c r="K364" s="555"/>
      <c r="L364" s="556"/>
      <c r="M364" s="497"/>
      <c r="N364" s="497"/>
      <c r="O364" s="557"/>
      <c r="Q364" s="497"/>
      <c r="R364" s="497"/>
    </row>
    <row r="365" spans="1:18" ht="20">
      <c r="A365" s="391"/>
      <c r="B365" s="634"/>
      <c r="C365" s="635"/>
      <c r="E365" s="636"/>
      <c r="F365" s="637">
        <f>SUM(F361:F363)</f>
        <v>285080</v>
      </c>
      <c r="G365" s="638"/>
      <c r="H365" s="637">
        <f>SUM(H361:H363)</f>
        <v>635750</v>
      </c>
      <c r="I365" s="640"/>
      <c r="J365" s="652">
        <f>SUM(J361:J363)</f>
        <v>920830</v>
      </c>
      <c r="K365" s="555"/>
      <c r="L365" s="476"/>
      <c r="M365" s="19"/>
      <c r="N365" s="653"/>
      <c r="P365" s="19"/>
      <c r="Q365" s="19"/>
      <c r="R365" s="19"/>
    </row>
    <row r="366" spans="1:18" ht="15.5">
      <c r="A366" s="391"/>
      <c r="B366" s="264"/>
      <c r="C366" s="639"/>
      <c r="D366" s="124"/>
      <c r="E366" s="640"/>
      <c r="F366" s="7"/>
      <c r="G366" s="640"/>
      <c r="H366" s="7"/>
      <c r="I366" s="654"/>
      <c r="J366" s="4"/>
      <c r="K366" s="655"/>
      <c r="L366" s="476"/>
      <c r="M366" s="19"/>
      <c r="N366" s="656"/>
      <c r="P366" s="19"/>
      <c r="Q366" s="19"/>
    </row>
    <row r="367" spans="1:18" ht="4.5" customHeight="1">
      <c r="A367" s="391"/>
      <c r="B367" s="264"/>
      <c r="C367" s="639"/>
      <c r="D367" s="123"/>
      <c r="E367" s="618"/>
      <c r="F367" s="123"/>
      <c r="G367" s="618"/>
      <c r="H367" s="19"/>
      <c r="I367" s="497"/>
      <c r="J367" s="21"/>
      <c r="K367" s="657"/>
      <c r="L367" s="548"/>
      <c r="M367" s="19"/>
      <c r="N367" s="19"/>
      <c r="O367" s="121"/>
    </row>
    <row r="368" spans="1:18" ht="15.5" hidden="1">
      <c r="A368" s="391"/>
      <c r="B368" s="264"/>
      <c r="C368" s="639"/>
      <c r="D368" s="123"/>
      <c r="E368" s="618"/>
      <c r="F368" s="123"/>
      <c r="G368" s="618"/>
      <c r="H368" s="19"/>
      <c r="I368" s="497"/>
      <c r="J368" s="21"/>
      <c r="K368" s="657"/>
      <c r="L368" s="548"/>
      <c r="M368" s="19"/>
      <c r="N368" s="19"/>
      <c r="O368" s="121"/>
    </row>
    <row r="369" spans="1:15" ht="15.5" hidden="1">
      <c r="A369" s="391"/>
      <c r="B369" s="264"/>
      <c r="C369" s="639"/>
      <c r="D369" s="123"/>
      <c r="E369" s="618"/>
      <c r="F369" s="123"/>
      <c r="G369" s="618"/>
      <c r="H369" s="19"/>
      <c r="I369" s="497"/>
      <c r="J369" s="21"/>
      <c r="K369" s="657"/>
      <c r="L369" s="548"/>
      <c r="M369" s="19"/>
      <c r="N369" s="19"/>
      <c r="O369" s="121"/>
    </row>
    <row r="370" spans="1:15" ht="15.5" hidden="1">
      <c r="A370" s="391"/>
      <c r="B370" s="264"/>
      <c r="C370" s="639"/>
      <c r="D370" s="123"/>
      <c r="E370" s="618"/>
      <c r="F370" s="123"/>
      <c r="G370" s="618"/>
      <c r="H370" s="19"/>
      <c r="I370" s="497"/>
      <c r="J370" s="21"/>
      <c r="K370" s="657"/>
      <c r="L370" s="548"/>
      <c r="M370" s="19"/>
      <c r="N370" s="19"/>
      <c r="O370" s="121"/>
    </row>
    <row r="371" spans="1:15" ht="15.5" hidden="1">
      <c r="A371" s="391"/>
      <c r="B371" s="264"/>
      <c r="C371" s="639"/>
      <c r="D371" s="123"/>
      <c r="E371" s="618"/>
      <c r="F371" s="123"/>
      <c r="G371" s="618"/>
      <c r="H371" s="19"/>
      <c r="I371" s="497"/>
      <c r="J371" s="21"/>
      <c r="K371" s="657"/>
      <c r="L371" s="548"/>
      <c r="M371" s="19"/>
      <c r="N371" s="19"/>
      <c r="O371" s="121"/>
    </row>
    <row r="372" spans="1:15" ht="15.5" hidden="1">
      <c r="A372" s="391"/>
      <c r="B372" s="264"/>
      <c r="C372" s="639"/>
      <c r="D372" s="123"/>
      <c r="E372" s="618"/>
      <c r="F372" s="123"/>
      <c r="G372" s="618"/>
      <c r="H372" s="19"/>
      <c r="I372" s="497"/>
      <c r="J372" s="21"/>
      <c r="K372" s="657"/>
      <c r="L372" s="548"/>
      <c r="M372" s="19"/>
      <c r="N372" s="19"/>
      <c r="O372" s="121"/>
    </row>
    <row r="373" spans="1:15" ht="15.5" hidden="1">
      <c r="A373" s="391"/>
      <c r="B373" s="264"/>
      <c r="C373" s="639"/>
      <c r="D373" s="123"/>
      <c r="E373" s="618"/>
      <c r="F373" s="123"/>
      <c r="G373" s="618"/>
      <c r="H373" s="19"/>
      <c r="I373" s="497"/>
      <c r="J373" s="21"/>
      <c r="K373" s="657"/>
      <c r="L373" s="548"/>
      <c r="M373" s="19"/>
      <c r="N373" s="19"/>
      <c r="O373" s="121"/>
    </row>
    <row r="374" spans="1:15" ht="15.5" hidden="1">
      <c r="A374" s="382"/>
      <c r="B374" s="641"/>
      <c r="C374" s="642"/>
      <c r="D374" s="643"/>
      <c r="E374" s="644"/>
      <c r="F374" s="643"/>
      <c r="G374" s="644"/>
      <c r="H374" s="584"/>
      <c r="I374" s="586"/>
      <c r="J374" s="621"/>
      <c r="K374" s="658"/>
      <c r="L374" s="645"/>
      <c r="M374" s="19"/>
      <c r="N374" s="19"/>
      <c r="O374" s="121"/>
    </row>
    <row r="375" spans="1:15" ht="15.5" hidden="1">
      <c r="B375" s="264"/>
      <c r="C375" s="639"/>
      <c r="D375" s="123"/>
      <c r="E375" s="618"/>
      <c r="F375" s="123"/>
      <c r="G375" s="618"/>
      <c r="H375" s="19"/>
      <c r="I375" s="497"/>
      <c r="J375" s="21"/>
      <c r="K375" s="657"/>
      <c r="L375" s="19"/>
      <c r="M375" s="19"/>
      <c r="N375" s="19"/>
      <c r="O375" s="121"/>
    </row>
    <row r="376" spans="1:15" ht="15.5" hidden="1">
      <c r="A376" s="383"/>
      <c r="B376" s="641"/>
      <c r="C376" s="642"/>
      <c r="D376" s="643"/>
      <c r="E376" s="644"/>
      <c r="F376" s="643"/>
      <c r="G376" s="644"/>
      <c r="H376" s="584"/>
      <c r="I376" s="586"/>
      <c r="J376" s="621"/>
      <c r="K376" s="658"/>
      <c r="L376" s="584"/>
      <c r="M376" s="19"/>
      <c r="N376" s="19"/>
      <c r="O376" s="121"/>
    </row>
    <row r="377" spans="1:15" ht="15.5" hidden="1">
      <c r="A377" s="391"/>
      <c r="B377" s="264"/>
      <c r="C377" s="639"/>
      <c r="D377" s="123"/>
      <c r="E377" s="618"/>
      <c r="F377" s="123"/>
      <c r="G377" s="618"/>
      <c r="H377" s="19"/>
      <c r="I377" s="497"/>
      <c r="J377" s="21"/>
      <c r="K377" s="657"/>
      <c r="L377" s="548"/>
      <c r="M377" s="19"/>
      <c r="N377" s="19"/>
      <c r="O377" s="121"/>
    </row>
    <row r="378" spans="1:15" ht="15.5" hidden="1">
      <c r="A378" s="391"/>
      <c r="B378" s="264"/>
      <c r="C378" s="639"/>
      <c r="D378" s="123"/>
      <c r="E378" s="618"/>
      <c r="F378" s="123"/>
      <c r="G378" s="618"/>
      <c r="H378" s="19"/>
      <c r="I378" s="497"/>
      <c r="J378" s="21"/>
      <c r="K378" s="657"/>
      <c r="L378" s="548"/>
      <c r="M378" s="19"/>
      <c r="N378" s="19"/>
      <c r="O378" s="121"/>
    </row>
    <row r="379" spans="1:15" ht="15.5" hidden="1">
      <c r="A379" s="391"/>
      <c r="B379" s="264"/>
      <c r="C379" s="639"/>
      <c r="D379" s="123"/>
      <c r="E379" s="618"/>
      <c r="F379" s="123"/>
      <c r="G379" s="618"/>
      <c r="H379" s="19"/>
      <c r="I379" s="497"/>
      <c r="J379" s="21"/>
      <c r="K379" s="657"/>
      <c r="L379" s="548"/>
      <c r="M379" s="19"/>
      <c r="N379" s="19"/>
      <c r="O379" s="121"/>
    </row>
    <row r="380" spans="1:15" ht="15.5" hidden="1">
      <c r="A380" s="391"/>
      <c r="B380" s="264"/>
      <c r="C380" s="639"/>
      <c r="D380" s="123"/>
      <c r="E380" s="618"/>
      <c r="F380" s="123"/>
      <c r="G380" s="618"/>
      <c r="H380" s="19"/>
      <c r="I380" s="497"/>
      <c r="J380" s="21"/>
      <c r="K380" s="657"/>
      <c r="L380" s="548"/>
      <c r="M380" s="19"/>
      <c r="N380" s="19"/>
      <c r="O380" s="121"/>
    </row>
    <row r="381" spans="1:15" ht="15.5" hidden="1">
      <c r="A381" s="391"/>
      <c r="B381" s="264"/>
      <c r="C381" s="639"/>
      <c r="D381" s="123"/>
      <c r="E381" s="618"/>
      <c r="F381" s="123"/>
      <c r="G381" s="618"/>
      <c r="H381" s="19"/>
      <c r="I381" s="497"/>
      <c r="J381" s="21"/>
      <c r="K381" s="657"/>
      <c r="L381" s="548"/>
      <c r="M381" s="19"/>
      <c r="N381" s="19"/>
      <c r="O381" s="121"/>
    </row>
    <row r="382" spans="1:15" ht="15.5" hidden="1">
      <c r="A382" s="391"/>
      <c r="B382" s="264"/>
      <c r="C382" s="639"/>
      <c r="D382" s="123"/>
      <c r="E382" s="618"/>
      <c r="F382" s="123"/>
      <c r="G382" s="618"/>
      <c r="H382" s="19"/>
      <c r="I382" s="497"/>
      <c r="J382" s="21"/>
      <c r="K382" s="657"/>
      <c r="L382" s="548"/>
      <c r="M382" s="19"/>
      <c r="N382" s="19"/>
      <c r="O382" s="121"/>
    </row>
    <row r="383" spans="1:15" ht="15.5" hidden="1">
      <c r="A383" s="391"/>
      <c r="B383" s="264"/>
      <c r="C383" s="639"/>
      <c r="D383" s="123"/>
      <c r="E383" s="618"/>
      <c r="F383" s="123"/>
      <c r="G383" s="618"/>
      <c r="H383" s="19"/>
      <c r="I383" s="497"/>
      <c r="J383" s="21"/>
      <c r="K383" s="657"/>
      <c r="L383" s="548"/>
      <c r="M383" s="19"/>
      <c r="N383" s="19"/>
      <c r="O383" s="121"/>
    </row>
    <row r="384" spans="1:15" ht="15.5" hidden="1">
      <c r="A384" s="391"/>
      <c r="B384" s="264"/>
      <c r="C384" s="639"/>
      <c r="D384" s="123"/>
      <c r="E384" s="618"/>
      <c r="F384" s="123"/>
      <c r="G384" s="618"/>
      <c r="H384" s="19"/>
      <c r="I384" s="497"/>
      <c r="J384" s="21"/>
      <c r="K384" s="657"/>
      <c r="L384" s="548"/>
      <c r="M384" s="19"/>
      <c r="N384" s="19"/>
      <c r="O384" s="121"/>
    </row>
    <row r="385" spans="1:15" ht="20">
      <c r="A385" s="391"/>
      <c r="B385" s="659" t="s">
        <v>273</v>
      </c>
      <c r="C385" s="660"/>
      <c r="D385" s="661"/>
      <c r="E385" s="662"/>
      <c r="F385" s="41"/>
      <c r="G385" s="497"/>
      <c r="H385" s="19"/>
      <c r="I385" s="497"/>
      <c r="J385" s="19"/>
      <c r="K385" s="497"/>
      <c r="L385" s="548"/>
      <c r="M385" s="19"/>
      <c r="N385" s="21"/>
    </row>
    <row r="386" spans="1:15" ht="13.5" customHeight="1">
      <c r="A386" s="391"/>
      <c r="B386" s="663"/>
      <c r="C386" s="664"/>
      <c r="D386" s="19"/>
      <c r="E386" s="497"/>
      <c r="F386" s="19"/>
      <c r="G386" s="497"/>
      <c r="H386" s="19"/>
      <c r="I386" s="497"/>
      <c r="J386" s="19"/>
      <c r="K386" s="497"/>
      <c r="L386" s="548"/>
      <c r="M386" s="19"/>
      <c r="N386" s="653"/>
    </row>
    <row r="387" spans="1:15" ht="20">
      <c r="A387" s="665"/>
      <c r="B387" s="576" t="s">
        <v>274</v>
      </c>
      <c r="C387" s="575"/>
      <c r="D387" s="576"/>
      <c r="E387" s="509"/>
      <c r="F387" s="507"/>
      <c r="G387" s="509"/>
      <c r="H387" s="507"/>
      <c r="I387" s="509"/>
      <c r="J387" s="507"/>
      <c r="K387" s="509"/>
      <c r="L387" s="694">
        <f>J307/P16</f>
        <v>46610</v>
      </c>
      <c r="M387" s="19"/>
      <c r="N387" s="264"/>
      <c r="O387" s="7"/>
    </row>
    <row r="388" spans="1:15" s="335" customFormat="1" ht="8.25" customHeight="1">
      <c r="A388" s="391"/>
      <c r="B388" s="506"/>
      <c r="C388" s="615"/>
      <c r="D388" s="666"/>
      <c r="E388" s="666"/>
      <c r="F388" s="667"/>
      <c r="G388" s="667"/>
      <c r="H388" s="667"/>
      <c r="I388" s="667"/>
      <c r="J388" s="667"/>
      <c r="K388" s="667"/>
      <c r="L388" s="695"/>
      <c r="M388" s="497"/>
      <c r="N388" s="696"/>
    </row>
    <row r="389" spans="1:15" ht="20">
      <c r="A389" s="391"/>
      <c r="B389" s="576" t="s">
        <v>275</v>
      </c>
      <c r="C389" s="668"/>
      <c r="D389" s="576"/>
      <c r="E389" s="509"/>
      <c r="F389" s="576"/>
      <c r="G389" s="576"/>
      <c r="H389" s="576"/>
      <c r="I389" s="509"/>
      <c r="J389" s="576"/>
      <c r="K389" s="509"/>
      <c r="L389" s="694">
        <f>H393</f>
        <v>32000</v>
      </c>
      <c r="M389" s="507"/>
      <c r="N389" s="19"/>
      <c r="O389" s="19"/>
    </row>
    <row r="390" spans="1:15" ht="20">
      <c r="A390" s="391"/>
      <c r="B390" s="495" t="s">
        <v>276</v>
      </c>
      <c r="C390" s="669"/>
      <c r="D390" s="670" t="s">
        <v>277</v>
      </c>
      <c r="E390" s="671"/>
      <c r="F390" s="670" t="s">
        <v>278</v>
      </c>
      <c r="G390" s="671"/>
      <c r="H390" s="670" t="s">
        <v>257</v>
      </c>
      <c r="I390" s="697"/>
      <c r="J390" s="507"/>
      <c r="K390" s="509"/>
      <c r="L390" s="552"/>
      <c r="M390" s="507"/>
      <c r="N390" s="19"/>
      <c r="O390" s="19"/>
    </row>
    <row r="391" spans="1:15" ht="20">
      <c r="A391" s="391"/>
      <c r="B391" s="672" t="s">
        <v>279</v>
      </c>
      <c r="C391" s="673"/>
      <c r="D391" s="672">
        <v>12500</v>
      </c>
      <c r="E391" s="674"/>
      <c r="F391" s="675">
        <v>2</v>
      </c>
      <c r="G391" s="676"/>
      <c r="H391" s="672">
        <f>F391*D391</f>
        <v>25000</v>
      </c>
      <c r="I391" s="509"/>
      <c r="J391" s="507"/>
      <c r="K391" s="509"/>
      <c r="L391" s="552"/>
      <c r="M391" s="507"/>
      <c r="N391" s="19"/>
      <c r="O391" s="19"/>
    </row>
    <row r="392" spans="1:15" ht="20">
      <c r="A392" s="391"/>
      <c r="B392" s="677" t="s">
        <v>280</v>
      </c>
      <c r="C392" s="678"/>
      <c r="D392" s="677">
        <v>7000</v>
      </c>
      <c r="E392" s="679"/>
      <c r="F392" s="680">
        <v>1</v>
      </c>
      <c r="G392" s="681"/>
      <c r="H392" s="677">
        <f>F392*D392</f>
        <v>7000</v>
      </c>
      <c r="I392" s="509"/>
      <c r="J392" s="507"/>
      <c r="K392" s="509"/>
      <c r="L392" s="552"/>
      <c r="M392" s="507"/>
      <c r="N392" s="19"/>
      <c r="O392" s="19"/>
    </row>
    <row r="393" spans="1:15" ht="20">
      <c r="A393" s="665"/>
      <c r="B393" s="19"/>
      <c r="C393" s="496"/>
      <c r="D393" s="682" t="s">
        <v>281</v>
      </c>
      <c r="E393" s="497"/>
      <c r="F393" s="683">
        <f>SUM(F391:F392)</f>
        <v>3</v>
      </c>
      <c r="G393" s="684"/>
      <c r="H393" s="683">
        <f>SUM(H391:H392)</f>
        <v>32000</v>
      </c>
      <c r="I393" s="698"/>
      <c r="J393" s="507"/>
      <c r="K393" s="509"/>
      <c r="L393" s="476"/>
      <c r="M393" s="507"/>
      <c r="N393" s="19"/>
      <c r="O393" s="19"/>
    </row>
    <row r="394" spans="1:15" s="335" customFormat="1" ht="8.25" customHeight="1">
      <c r="A394" s="391"/>
      <c r="B394" s="506"/>
      <c r="C394" s="615"/>
      <c r="D394" s="666"/>
      <c r="E394" s="666"/>
      <c r="F394" s="667"/>
      <c r="G394" s="667"/>
      <c r="H394" s="667"/>
      <c r="I394" s="667"/>
      <c r="J394" s="667"/>
      <c r="K394" s="667"/>
      <c r="L394" s="695"/>
      <c r="M394" s="497"/>
      <c r="N394" s="696"/>
    </row>
    <row r="395" spans="1:15" ht="20">
      <c r="A395" s="665"/>
      <c r="B395" s="576" t="s">
        <v>282</v>
      </c>
      <c r="C395" s="575"/>
      <c r="D395" s="576"/>
      <c r="E395" s="509"/>
      <c r="F395" s="576"/>
      <c r="G395" s="576"/>
      <c r="H395" s="576"/>
      <c r="I395" s="509"/>
      <c r="J395" s="699"/>
      <c r="K395" s="666"/>
      <c r="L395" s="694">
        <f>ROUND(O46,-2)</f>
        <v>900</v>
      </c>
      <c r="M395" s="507"/>
      <c r="N395" s="653"/>
    </row>
    <row r="396" spans="1:15" s="335" customFormat="1" ht="8.25" customHeight="1">
      <c r="A396" s="391"/>
      <c r="B396" s="506"/>
      <c r="C396" s="615"/>
      <c r="D396" s="666"/>
      <c r="E396" s="666"/>
      <c r="F396" s="667"/>
      <c r="G396" s="667"/>
      <c r="H396" s="667"/>
      <c r="I396" s="667"/>
      <c r="J396" s="667"/>
      <c r="K396" s="667"/>
      <c r="L396" s="695"/>
      <c r="M396" s="497"/>
      <c r="N396" s="696"/>
    </row>
    <row r="397" spans="1:15" ht="20">
      <c r="A397" s="665"/>
      <c r="B397" s="576" t="s">
        <v>228</v>
      </c>
      <c r="C397" s="508"/>
      <c r="D397" s="576"/>
      <c r="E397" s="509"/>
      <c r="F397" s="576"/>
      <c r="G397" s="509"/>
      <c r="H397" s="576"/>
      <c r="I397" s="509"/>
      <c r="J397" s="699"/>
      <c r="K397" s="666"/>
      <c r="L397" s="694">
        <f>ROUND(O47,-2)</f>
        <v>400</v>
      </c>
      <c r="M397" s="507"/>
      <c r="N397" s="653"/>
    </row>
    <row r="398" spans="1:15" s="335" customFormat="1" ht="8.25" customHeight="1">
      <c r="A398" s="391"/>
      <c r="B398" s="506"/>
      <c r="C398" s="615"/>
      <c r="D398" s="666"/>
      <c r="E398" s="666"/>
      <c r="F398" s="667"/>
      <c r="G398" s="667"/>
      <c r="H398" s="667"/>
      <c r="I398" s="667"/>
      <c r="J398" s="667"/>
      <c r="K398" s="667"/>
      <c r="L398" s="695"/>
      <c r="M398" s="497"/>
      <c r="N398" s="696"/>
    </row>
    <row r="399" spans="1:15" ht="20">
      <c r="A399" s="665"/>
      <c r="B399" s="576" t="s">
        <v>230</v>
      </c>
      <c r="C399" s="508"/>
      <c r="D399" s="576"/>
      <c r="E399" s="509"/>
      <c r="F399" s="576"/>
      <c r="G399" s="509"/>
      <c r="H399" s="576"/>
      <c r="I399" s="509"/>
      <c r="J399" s="699"/>
      <c r="K399" s="666"/>
      <c r="L399" s="694">
        <f>ROUND(O48,-2)</f>
        <v>100</v>
      </c>
      <c r="M399" s="507"/>
      <c r="N399" s="653"/>
    </row>
    <row r="400" spans="1:15" s="335" customFormat="1" ht="8.25" customHeight="1">
      <c r="A400" s="391"/>
      <c r="B400" s="506"/>
      <c r="C400" s="615"/>
      <c r="D400" s="666"/>
      <c r="E400" s="666"/>
      <c r="F400" s="667"/>
      <c r="G400" s="667"/>
      <c r="H400" s="667"/>
      <c r="I400" s="667"/>
      <c r="J400" s="667"/>
      <c r="K400" s="667"/>
      <c r="L400" s="695"/>
      <c r="M400" s="497"/>
      <c r="N400" s="696"/>
    </row>
    <row r="401" spans="1:15" ht="18.75" customHeight="1">
      <c r="A401" s="665"/>
      <c r="B401" s="576" t="s">
        <v>283</v>
      </c>
      <c r="C401" s="508"/>
      <c r="D401" s="576"/>
      <c r="E401" s="509"/>
      <c r="F401" s="576"/>
      <c r="G401" s="509"/>
      <c r="H401" s="576"/>
      <c r="I401" s="509"/>
      <c r="J401" s="699"/>
      <c r="K401" s="666"/>
      <c r="L401" s="694">
        <f>ROUND(O49,-2)</f>
        <v>100</v>
      </c>
      <c r="M401" s="507"/>
      <c r="N401" s="653"/>
    </row>
    <row r="402" spans="1:15" s="335" customFormat="1" ht="8.25" customHeight="1">
      <c r="A402" s="391"/>
      <c r="B402" s="506"/>
      <c r="C402" s="615"/>
      <c r="D402" s="666"/>
      <c r="E402" s="666"/>
      <c r="F402" s="667"/>
      <c r="G402" s="667"/>
      <c r="H402" s="667"/>
      <c r="I402" s="667"/>
      <c r="J402" s="667"/>
      <c r="K402" s="667"/>
      <c r="L402" s="695"/>
      <c r="M402" s="497"/>
      <c r="N402" s="696"/>
    </row>
    <row r="403" spans="1:15" ht="18" customHeight="1">
      <c r="A403" s="665"/>
      <c r="B403" s="576" t="s">
        <v>236</v>
      </c>
      <c r="C403" s="508"/>
      <c r="D403" s="576"/>
      <c r="E403" s="509"/>
      <c r="F403" s="576"/>
      <c r="G403" s="509"/>
      <c r="H403" s="576"/>
      <c r="I403" s="509"/>
      <c r="J403" s="699"/>
      <c r="K403" s="666"/>
      <c r="L403" s="694">
        <f>ROUND(O50,-2)</f>
        <v>500</v>
      </c>
      <c r="M403" s="507"/>
      <c r="N403" s="656"/>
      <c r="O403" s="133"/>
    </row>
    <row r="404" spans="1:15" s="335" customFormat="1" ht="8.25" customHeight="1">
      <c r="A404" s="391"/>
      <c r="B404" s="506"/>
      <c r="C404" s="615"/>
      <c r="D404" s="666"/>
      <c r="E404" s="666"/>
      <c r="F404" s="667"/>
      <c r="G404" s="667"/>
      <c r="H404" s="667"/>
      <c r="I404" s="667"/>
      <c r="J404" s="667"/>
      <c r="K404" s="667"/>
      <c r="L404" s="695"/>
      <c r="M404" s="497"/>
      <c r="N404" s="696"/>
    </row>
    <row r="405" spans="1:15" ht="20">
      <c r="A405" s="665"/>
      <c r="B405" s="576" t="s">
        <v>237</v>
      </c>
      <c r="C405" s="508"/>
      <c r="D405" s="576"/>
      <c r="E405" s="509"/>
      <c r="F405" s="576"/>
      <c r="G405" s="509"/>
      <c r="H405" s="576"/>
      <c r="I405" s="509"/>
      <c r="J405" s="699"/>
      <c r="K405" s="666"/>
      <c r="L405" s="694">
        <f>ROUND(O51,-2)</f>
        <v>600</v>
      </c>
      <c r="M405" s="507"/>
      <c r="N405" s="656"/>
      <c r="O405" s="133"/>
    </row>
    <row r="406" spans="1:15" s="335" customFormat="1" ht="8.25" customHeight="1">
      <c r="A406" s="391"/>
      <c r="B406" s="506"/>
      <c r="C406" s="615"/>
      <c r="D406" s="666"/>
      <c r="E406" s="666"/>
      <c r="F406" s="667"/>
      <c r="G406" s="667"/>
      <c r="H406" s="667"/>
      <c r="I406" s="667"/>
      <c r="J406" s="667"/>
      <c r="K406" s="667"/>
      <c r="L406" s="695"/>
      <c r="M406" s="497"/>
      <c r="N406" s="696"/>
    </row>
    <row r="407" spans="1:15" ht="20">
      <c r="A407" s="665"/>
      <c r="B407" s="576" t="s">
        <v>239</v>
      </c>
      <c r="C407" s="508"/>
      <c r="D407" s="576"/>
      <c r="E407" s="509"/>
      <c r="F407" s="576"/>
      <c r="G407" s="509"/>
      <c r="H407" s="576"/>
      <c r="I407" s="509"/>
      <c r="J407" s="699"/>
      <c r="K407" s="666"/>
      <c r="L407" s="694">
        <f>ROUND(O52,-2)</f>
        <v>1000</v>
      </c>
      <c r="M407" s="507"/>
      <c r="N407" s="656"/>
      <c r="O407" s="133"/>
    </row>
    <row r="408" spans="1:15" s="335" customFormat="1" ht="8.25" customHeight="1">
      <c r="A408" s="391"/>
      <c r="B408" s="506"/>
      <c r="C408" s="615"/>
      <c r="D408" s="666"/>
      <c r="E408" s="666"/>
      <c r="F408" s="667"/>
      <c r="G408" s="667"/>
      <c r="H408" s="667"/>
      <c r="I408" s="667"/>
      <c r="J408" s="667"/>
      <c r="K408" s="667"/>
      <c r="L408" s="695"/>
      <c r="M408" s="497"/>
      <c r="N408" s="696"/>
    </row>
    <row r="409" spans="1:15" ht="20">
      <c r="A409" s="665"/>
      <c r="B409" s="576" t="s">
        <v>284</v>
      </c>
      <c r="C409" s="508"/>
      <c r="D409" s="576"/>
      <c r="E409" s="509"/>
      <c r="F409" s="576"/>
      <c r="G409" s="509"/>
      <c r="H409" s="576"/>
      <c r="I409" s="509"/>
      <c r="J409" s="576"/>
      <c r="K409" s="509"/>
      <c r="L409" s="694">
        <f>H365*P28/100/12</f>
        <v>5562.8125</v>
      </c>
      <c r="M409" s="507"/>
      <c r="N409" s="656"/>
      <c r="O409" s="133"/>
    </row>
    <row r="410" spans="1:15" s="335" customFormat="1" ht="8.25" customHeight="1">
      <c r="A410" s="391"/>
      <c r="B410" s="506"/>
      <c r="C410" s="615"/>
      <c r="D410" s="666"/>
      <c r="E410" s="666"/>
      <c r="F410" s="667"/>
      <c r="G410" s="667"/>
      <c r="H410" s="667"/>
      <c r="I410" s="667"/>
      <c r="J410" s="667"/>
      <c r="K410" s="667"/>
      <c r="L410" s="695"/>
      <c r="M410" s="497"/>
      <c r="N410" s="696"/>
    </row>
    <row r="411" spans="1:15" ht="20">
      <c r="A411" s="665"/>
      <c r="B411" s="576" t="s">
        <v>285</v>
      </c>
      <c r="C411" s="508"/>
      <c r="D411" s="576"/>
      <c r="E411" s="509"/>
      <c r="F411" s="576"/>
      <c r="G411" s="509"/>
      <c r="H411" s="576"/>
      <c r="I411" s="509"/>
      <c r="J411" s="576"/>
      <c r="K411" s="509"/>
      <c r="L411" s="694">
        <f>L167*10/100/12</f>
        <v>6508.333333333333</v>
      </c>
      <c r="M411" s="507"/>
      <c r="N411" s="656"/>
      <c r="O411" s="133"/>
    </row>
    <row r="412" spans="1:15" s="335" customFormat="1" ht="8.25" customHeight="1">
      <c r="A412" s="391"/>
      <c r="B412" s="506"/>
      <c r="C412" s="615"/>
      <c r="D412" s="666"/>
      <c r="E412" s="666"/>
      <c r="F412" s="667"/>
      <c r="G412" s="667"/>
      <c r="H412" s="667"/>
      <c r="I412" s="667"/>
      <c r="J412" s="667"/>
      <c r="K412" s="667"/>
      <c r="L412" s="695"/>
      <c r="M412" s="497"/>
      <c r="N412" s="696"/>
    </row>
    <row r="413" spans="1:15" ht="20">
      <c r="A413" s="665"/>
      <c r="B413" s="576" t="s">
        <v>286</v>
      </c>
      <c r="C413" s="508"/>
      <c r="D413" s="576"/>
      <c r="E413" s="509"/>
      <c r="F413" s="576"/>
      <c r="G413" s="509"/>
      <c r="H413" s="576"/>
      <c r="I413" s="509"/>
      <c r="J413" s="576"/>
      <c r="K413" s="509"/>
      <c r="L413" s="694">
        <f>(J469-J305)/P16</f>
        <v>16140</v>
      </c>
      <c r="M413" s="507"/>
      <c r="N413" s="656"/>
      <c r="O413" s="133"/>
    </row>
    <row r="414" spans="1:15" s="335" customFormat="1" ht="8.25" customHeight="1">
      <c r="A414" s="391"/>
      <c r="B414" s="506"/>
      <c r="C414" s="615"/>
      <c r="D414" s="666"/>
      <c r="E414" s="666"/>
      <c r="F414" s="667"/>
      <c r="G414" s="667"/>
      <c r="H414" s="667"/>
      <c r="I414" s="667"/>
      <c r="J414" s="667"/>
      <c r="K414" s="667"/>
      <c r="L414" s="695"/>
      <c r="M414" s="497"/>
      <c r="N414" s="696"/>
    </row>
    <row r="415" spans="1:15" ht="20">
      <c r="A415" s="665"/>
      <c r="B415" s="576" t="s">
        <v>287</v>
      </c>
      <c r="C415" s="508"/>
      <c r="D415" s="576"/>
      <c r="E415" s="509"/>
      <c r="F415" s="576"/>
      <c r="G415" s="509"/>
      <c r="H415" s="576"/>
      <c r="I415" s="509"/>
      <c r="J415" s="576"/>
      <c r="K415" s="509"/>
      <c r="L415" s="694">
        <f>L413*1/100</f>
        <v>161.4</v>
      </c>
      <c r="M415" s="507"/>
      <c r="N415" s="656"/>
      <c r="O415" s="133"/>
    </row>
    <row r="416" spans="1:15" s="335" customFormat="1" ht="8.25" customHeight="1">
      <c r="A416" s="391"/>
      <c r="B416" s="506"/>
      <c r="C416" s="615"/>
      <c r="D416" s="666"/>
      <c r="E416" s="666"/>
      <c r="F416" s="667"/>
      <c r="G416" s="667"/>
      <c r="H416" s="667"/>
      <c r="I416" s="667"/>
      <c r="J416" s="667"/>
      <c r="K416" s="667"/>
      <c r="L416" s="695"/>
      <c r="M416" s="497"/>
      <c r="N416" s="696"/>
    </row>
    <row r="417" spans="1:14" ht="20">
      <c r="A417" s="665"/>
      <c r="B417" s="576" t="s">
        <v>288</v>
      </c>
      <c r="C417" s="508"/>
      <c r="D417" s="576"/>
      <c r="E417" s="509"/>
      <c r="F417" s="576"/>
      <c r="G417" s="509"/>
      <c r="H417" s="576"/>
      <c r="I417" s="509"/>
      <c r="J417" s="576"/>
      <c r="K417" s="509"/>
      <c r="L417" s="700" t="str">
        <f>P33</f>
        <v>500</v>
      </c>
      <c r="M417" s="507"/>
      <c r="N417" s="656"/>
    </row>
    <row r="418" spans="1:14" s="335" customFormat="1" ht="8.25" customHeight="1">
      <c r="A418" s="391"/>
      <c r="B418" s="506"/>
      <c r="C418" s="615"/>
      <c r="D418" s="666"/>
      <c r="E418" s="666"/>
      <c r="F418" s="667"/>
      <c r="G418" s="667"/>
      <c r="H418" s="667"/>
      <c r="I418" s="667"/>
      <c r="J418" s="667"/>
      <c r="K418" s="667"/>
      <c r="L418" s="695"/>
      <c r="M418" s="497"/>
      <c r="N418" s="696"/>
    </row>
    <row r="419" spans="1:14" ht="20">
      <c r="A419" s="665"/>
      <c r="B419" s="576" t="s">
        <v>289</v>
      </c>
      <c r="C419" s="508"/>
      <c r="D419" s="576"/>
      <c r="E419" s="509"/>
      <c r="F419" s="576"/>
      <c r="G419" s="509"/>
      <c r="H419" s="576"/>
      <c r="I419" s="509"/>
      <c r="J419" s="576"/>
      <c r="K419" s="509"/>
      <c r="L419" s="701">
        <f>'DATA INPUT '!C6</f>
        <v>5500</v>
      </c>
      <c r="M419" s="507"/>
      <c r="N419" s="656"/>
    </row>
    <row r="420" spans="1:14" s="335" customFormat="1" ht="8.25" customHeight="1">
      <c r="A420" s="391"/>
      <c r="B420" s="506"/>
      <c r="C420" s="615"/>
      <c r="D420" s="666"/>
      <c r="E420" s="666"/>
      <c r="F420" s="667"/>
      <c r="G420" s="667"/>
      <c r="H420" s="667"/>
      <c r="I420" s="667"/>
      <c r="J420" s="667"/>
      <c r="K420" s="667"/>
      <c r="L420" s="695"/>
      <c r="M420" s="497"/>
      <c r="N420" s="696"/>
    </row>
    <row r="421" spans="1:14" ht="20">
      <c r="A421" s="665"/>
      <c r="B421" s="491" t="s">
        <v>290</v>
      </c>
      <c r="C421" s="579"/>
      <c r="D421" s="491"/>
      <c r="E421" s="508"/>
      <c r="F421" s="491"/>
      <c r="G421" s="508"/>
      <c r="H421" s="491"/>
      <c r="I421" s="508"/>
      <c r="J421" s="491"/>
      <c r="K421" s="509"/>
      <c r="L421" s="702">
        <f>SUM(L387:L419)</f>
        <v>116082.54583333332</v>
      </c>
      <c r="M421" s="507"/>
      <c r="N421" s="653"/>
    </row>
    <row r="422" spans="1:14" s="335" customFormat="1" ht="9.75" customHeight="1">
      <c r="A422" s="665"/>
      <c r="B422" s="506"/>
      <c r="C422" s="580"/>
      <c r="D422" s="509"/>
      <c r="E422" s="509"/>
      <c r="F422" s="509"/>
      <c r="G422" s="509"/>
      <c r="H422" s="509"/>
      <c r="I422" s="509"/>
      <c r="J422" s="509"/>
      <c r="K422" s="509"/>
      <c r="L422" s="703"/>
      <c r="M422" s="509"/>
      <c r="N422" s="696"/>
    </row>
    <row r="423" spans="1:14" s="335" customFormat="1" ht="20" hidden="1">
      <c r="A423" s="665"/>
      <c r="B423" s="506"/>
      <c r="C423" s="580"/>
      <c r="D423" s="509"/>
      <c r="E423" s="509"/>
      <c r="F423" s="509"/>
      <c r="G423" s="509"/>
      <c r="H423" s="509"/>
      <c r="I423" s="509"/>
      <c r="J423" s="509"/>
      <c r="K423" s="509"/>
      <c r="L423" s="703"/>
      <c r="M423" s="509"/>
      <c r="N423" s="696"/>
    </row>
    <row r="424" spans="1:14" s="335" customFormat="1" ht="20" hidden="1">
      <c r="A424" s="391"/>
      <c r="B424" s="506"/>
      <c r="C424" s="580"/>
      <c r="D424" s="509"/>
      <c r="E424" s="509"/>
      <c r="F424" s="509"/>
      <c r="G424" s="509"/>
      <c r="H424" s="509"/>
      <c r="I424" s="509"/>
      <c r="J424" s="509"/>
      <c r="K424" s="509"/>
      <c r="L424" s="703"/>
      <c r="M424" s="509"/>
      <c r="N424" s="696"/>
    </row>
    <row r="425" spans="1:14" s="335" customFormat="1" ht="20" hidden="1">
      <c r="A425" s="391"/>
      <c r="B425" s="506"/>
      <c r="C425" s="580"/>
      <c r="D425" s="509"/>
      <c r="E425" s="509"/>
      <c r="F425" s="509"/>
      <c r="G425" s="509"/>
      <c r="H425" s="509"/>
      <c r="I425" s="509"/>
      <c r="J425" s="509"/>
      <c r="K425" s="509"/>
      <c r="L425" s="703"/>
      <c r="M425" s="509"/>
      <c r="N425" s="696"/>
    </row>
    <row r="426" spans="1:14" s="335" customFormat="1" ht="20" hidden="1">
      <c r="A426" s="391"/>
      <c r="B426" s="506"/>
      <c r="C426" s="580"/>
      <c r="D426" s="509"/>
      <c r="E426" s="509"/>
      <c r="F426" s="509"/>
      <c r="G426" s="509"/>
      <c r="H426" s="509"/>
      <c r="I426" s="509"/>
      <c r="J426" s="509"/>
      <c r="K426" s="509"/>
      <c r="L426" s="703"/>
      <c r="M426" s="509"/>
      <c r="N426" s="696"/>
    </row>
    <row r="427" spans="1:14" s="335" customFormat="1" ht="20" hidden="1">
      <c r="A427" s="391"/>
      <c r="B427" s="506"/>
      <c r="C427" s="580"/>
      <c r="D427" s="509"/>
      <c r="E427" s="509"/>
      <c r="F427" s="509"/>
      <c r="G427" s="509"/>
      <c r="H427" s="509"/>
      <c r="I427" s="509"/>
      <c r="J427" s="509"/>
      <c r="K427" s="509"/>
      <c r="L427" s="703"/>
      <c r="M427" s="509"/>
      <c r="N427" s="696"/>
    </row>
    <row r="428" spans="1:14" s="335" customFormat="1" ht="20" hidden="1">
      <c r="A428" s="391"/>
      <c r="B428" s="506"/>
      <c r="C428" s="580"/>
      <c r="D428" s="509"/>
      <c r="E428" s="509"/>
      <c r="F428" s="509"/>
      <c r="G428" s="509"/>
      <c r="H428" s="509"/>
      <c r="I428" s="509"/>
      <c r="J428" s="509"/>
      <c r="K428" s="509"/>
      <c r="L428" s="703"/>
      <c r="M428" s="509"/>
      <c r="N428" s="696"/>
    </row>
    <row r="429" spans="1:14" s="335" customFormat="1" ht="20" hidden="1">
      <c r="A429" s="391"/>
      <c r="B429" s="506"/>
      <c r="C429" s="580"/>
      <c r="D429" s="509"/>
      <c r="E429" s="509"/>
      <c r="F429" s="509"/>
      <c r="G429" s="509"/>
      <c r="H429" s="509"/>
      <c r="I429" s="509"/>
      <c r="J429" s="509"/>
      <c r="K429" s="509"/>
      <c r="L429" s="703"/>
      <c r="M429" s="509"/>
      <c r="N429" s="696"/>
    </row>
    <row r="430" spans="1:14" s="335" customFormat="1" ht="20" hidden="1">
      <c r="A430" s="391"/>
      <c r="B430" s="506"/>
      <c r="C430" s="580"/>
      <c r="D430" s="509"/>
      <c r="E430" s="509"/>
      <c r="F430" s="509"/>
      <c r="G430" s="509"/>
      <c r="H430" s="509"/>
      <c r="I430" s="509"/>
      <c r="J430" s="509"/>
      <c r="K430" s="509"/>
      <c r="L430" s="703"/>
      <c r="M430" s="509"/>
      <c r="N430" s="696"/>
    </row>
    <row r="431" spans="1:14" s="335" customFormat="1" ht="20" hidden="1">
      <c r="A431" s="391"/>
      <c r="B431" s="506"/>
      <c r="C431" s="580"/>
      <c r="D431" s="509"/>
      <c r="E431" s="509"/>
      <c r="F431" s="509"/>
      <c r="G431" s="509"/>
      <c r="H431" s="509"/>
      <c r="I431" s="509"/>
      <c r="J431" s="509"/>
      <c r="K431" s="509"/>
      <c r="L431" s="703"/>
      <c r="M431" s="509"/>
      <c r="N431" s="696"/>
    </row>
    <row r="432" spans="1:14" s="335" customFormat="1" ht="20" hidden="1">
      <c r="A432" s="391"/>
      <c r="B432" s="506"/>
      <c r="C432" s="580"/>
      <c r="D432" s="509"/>
      <c r="E432" s="509"/>
      <c r="F432" s="509"/>
      <c r="G432" s="509"/>
      <c r="H432" s="509"/>
      <c r="I432" s="509"/>
      <c r="J432" s="509"/>
      <c r="K432" s="509"/>
      <c r="L432" s="703"/>
      <c r="M432" s="509"/>
      <c r="N432" s="696"/>
    </row>
    <row r="433" spans="1:14" s="335" customFormat="1" ht="20" hidden="1">
      <c r="A433" s="391"/>
      <c r="B433" s="506"/>
      <c r="C433" s="580"/>
      <c r="D433" s="509"/>
      <c r="E433" s="509"/>
      <c r="F433" s="509"/>
      <c r="G433" s="509"/>
      <c r="H433" s="509"/>
      <c r="I433" s="509"/>
      <c r="J433" s="509"/>
      <c r="K433" s="509"/>
      <c r="L433" s="703"/>
      <c r="M433" s="509"/>
      <c r="N433" s="696"/>
    </row>
    <row r="434" spans="1:14" s="335" customFormat="1" ht="20" hidden="1">
      <c r="A434" s="391"/>
      <c r="B434" s="506"/>
      <c r="C434" s="580"/>
      <c r="D434" s="509"/>
      <c r="E434" s="509"/>
      <c r="F434" s="509"/>
      <c r="G434" s="509"/>
      <c r="H434" s="509"/>
      <c r="I434" s="509"/>
      <c r="J434" s="509"/>
      <c r="K434" s="509"/>
      <c r="L434" s="703"/>
      <c r="M434" s="509"/>
      <c r="N434" s="696"/>
    </row>
    <row r="435" spans="1:14" s="335" customFormat="1" ht="20">
      <c r="A435" s="382"/>
      <c r="B435" s="685"/>
      <c r="C435" s="686"/>
      <c r="D435" s="564"/>
      <c r="E435" s="564"/>
      <c r="F435" s="564"/>
      <c r="G435" s="564"/>
      <c r="H435" s="564"/>
      <c r="I435" s="564"/>
      <c r="J435" s="564"/>
      <c r="K435" s="564"/>
      <c r="L435" s="704"/>
      <c r="M435" s="509"/>
      <c r="N435" s="696"/>
    </row>
    <row r="436" spans="1:14" s="335" customFormat="1" ht="20">
      <c r="A436"/>
      <c r="B436" s="506"/>
      <c r="C436" s="580"/>
      <c r="D436" s="509"/>
      <c r="E436" s="509"/>
      <c r="F436" s="509"/>
      <c r="G436" s="509"/>
      <c r="H436" s="509"/>
      <c r="I436" s="509"/>
      <c r="J436" s="509"/>
      <c r="K436" s="509"/>
      <c r="L436" s="614"/>
      <c r="M436" s="509"/>
      <c r="N436" s="696"/>
    </row>
    <row r="437" spans="1:14" s="335" customFormat="1" ht="20">
      <c r="A437" s="383"/>
      <c r="B437" s="685"/>
      <c r="C437" s="686"/>
      <c r="D437" s="564"/>
      <c r="E437" s="564"/>
      <c r="F437" s="564"/>
      <c r="G437" s="564"/>
      <c r="H437" s="564"/>
      <c r="I437" s="564"/>
      <c r="J437" s="564"/>
      <c r="K437" s="564"/>
      <c r="L437" s="705"/>
      <c r="M437" s="509"/>
      <c r="N437" s="696"/>
    </row>
    <row r="438" spans="1:14" s="335" customFormat="1" ht="20">
      <c r="A438" s="391"/>
      <c r="B438" s="506"/>
      <c r="C438" s="580"/>
      <c r="D438" s="509"/>
      <c r="E438" s="509"/>
      <c r="F438" s="509"/>
      <c r="G438" s="509"/>
      <c r="H438" s="509"/>
      <c r="I438" s="509"/>
      <c r="J438" s="509"/>
      <c r="K438" s="509"/>
      <c r="L438" s="703"/>
      <c r="M438" s="509"/>
      <c r="N438" s="696"/>
    </row>
    <row r="439" spans="1:14" s="335" customFormat="1" ht="20">
      <c r="A439" s="391"/>
      <c r="B439" s="506"/>
      <c r="C439" s="580"/>
      <c r="D439" s="509"/>
      <c r="E439" s="509"/>
      <c r="F439" s="509"/>
      <c r="G439" s="509"/>
      <c r="H439" s="509"/>
      <c r="I439" s="509"/>
      <c r="J439" s="509"/>
      <c r="K439" s="509"/>
      <c r="L439" s="703"/>
      <c r="M439" s="509"/>
      <c r="N439" s="696"/>
    </row>
    <row r="440" spans="1:14" s="335" customFormat="1" ht="20">
      <c r="A440" s="391"/>
      <c r="B440" s="506"/>
      <c r="C440" s="580"/>
      <c r="D440" s="509"/>
      <c r="E440" s="509"/>
      <c r="F440" s="509"/>
      <c r="G440" s="509"/>
      <c r="H440" s="509"/>
      <c r="I440" s="509"/>
      <c r="J440" s="509"/>
      <c r="K440" s="509"/>
      <c r="L440" s="703"/>
      <c r="M440" s="509"/>
      <c r="N440" s="696"/>
    </row>
    <row r="441" spans="1:14" s="335" customFormat="1" ht="20">
      <c r="A441" s="391"/>
      <c r="B441" s="506"/>
      <c r="C441" s="580"/>
      <c r="D441" s="509"/>
      <c r="E441" s="509"/>
      <c r="F441" s="509"/>
      <c r="G441" s="509"/>
      <c r="H441" s="509"/>
      <c r="I441" s="509"/>
      <c r="J441" s="509"/>
      <c r="K441" s="509"/>
      <c r="L441" s="703"/>
      <c r="M441" s="509"/>
      <c r="N441" s="696"/>
    </row>
    <row r="442" spans="1:14" s="335" customFormat="1" ht="20">
      <c r="A442" s="391"/>
      <c r="B442" s="506"/>
      <c r="C442" s="580"/>
      <c r="D442" s="509"/>
      <c r="E442" s="509"/>
      <c r="F442" s="509"/>
      <c r="G442" s="509"/>
      <c r="H442" s="509"/>
      <c r="I442" s="509"/>
      <c r="J442" s="509"/>
      <c r="K442" s="509"/>
      <c r="L442" s="703"/>
      <c r="M442" s="509"/>
      <c r="N442" s="696"/>
    </row>
    <row r="443" spans="1:14" ht="20">
      <c r="A443" s="391"/>
      <c r="B443" s="687" t="s">
        <v>291</v>
      </c>
      <c r="C443" s="688"/>
      <c r="D443" s="689"/>
      <c r="E443" s="690"/>
      <c r="F443" s="689"/>
      <c r="G443" s="679"/>
      <c r="H443" s="41"/>
      <c r="I443" s="497"/>
      <c r="J443" s="19"/>
      <c r="K443" s="497"/>
      <c r="L443" s="548"/>
      <c r="M443" s="19"/>
      <c r="N443" s="653"/>
    </row>
    <row r="444" spans="1:14" ht="15.5">
      <c r="A444" s="391"/>
      <c r="B444" s="691"/>
      <c r="C444" s="692"/>
      <c r="D444" s="19"/>
      <c r="E444" s="497"/>
      <c r="F444" s="19"/>
      <c r="G444" s="497"/>
      <c r="H444" s="19"/>
      <c r="I444" s="497"/>
      <c r="J444" s="19"/>
      <c r="K444" s="497"/>
      <c r="L444" s="548"/>
      <c r="M444" s="19"/>
      <c r="N444" s="653"/>
    </row>
    <row r="445" spans="1:14" ht="20">
      <c r="A445" s="665"/>
      <c r="B445" s="579" t="s">
        <v>252</v>
      </c>
      <c r="C445" s="579"/>
      <c r="D445" s="515"/>
      <c r="E445" s="516"/>
      <c r="F445" s="515" t="s">
        <v>292</v>
      </c>
      <c r="G445" s="516"/>
      <c r="H445" s="515" t="s">
        <v>293</v>
      </c>
      <c r="I445" s="580"/>
      <c r="J445" s="706" t="s">
        <v>73</v>
      </c>
      <c r="K445" s="707"/>
      <c r="L445" s="708"/>
      <c r="M445" s="19"/>
      <c r="N445" s="653"/>
    </row>
    <row r="446" spans="1:14" s="335" customFormat="1" ht="8.25" customHeight="1">
      <c r="A446" s="665"/>
      <c r="B446" s="506"/>
      <c r="C446" s="615"/>
      <c r="D446" s="666"/>
      <c r="E446" s="666"/>
      <c r="F446" s="667"/>
      <c r="G446" s="667"/>
      <c r="H446" s="667"/>
      <c r="I446" s="667"/>
      <c r="J446" s="667"/>
      <c r="K446" s="667"/>
      <c r="L446" s="695"/>
      <c r="M446" s="497"/>
      <c r="N446" s="696"/>
    </row>
    <row r="447" spans="1:14" s="335" customFormat="1" ht="20">
      <c r="A447" s="665"/>
      <c r="B447" s="693" t="str">
        <f>IF(P16&gt;R15,"3 MONTHS SALES REVENUE","MONTHLY SALES REVENUE")</f>
        <v>3 MONTHS SALES REVENUE</v>
      </c>
      <c r="C447" s="508"/>
      <c r="D447" s="509"/>
      <c r="E447" s="509"/>
      <c r="F447" s="509"/>
      <c r="G447" s="509"/>
      <c r="I447" s="614"/>
      <c r="J447" s="509"/>
      <c r="K447" s="509"/>
      <c r="L447" s="646" t="s">
        <v>294</v>
      </c>
      <c r="M447" s="497"/>
      <c r="N447" s="696"/>
    </row>
    <row r="448" spans="1:14" s="335" customFormat="1" ht="8.25" customHeight="1">
      <c r="A448" s="391"/>
      <c r="B448" s="506"/>
      <c r="C448" s="615"/>
      <c r="D448" s="666"/>
      <c r="E448" s="666"/>
      <c r="F448" s="667"/>
      <c r="G448" s="667"/>
      <c r="H448" s="667"/>
      <c r="I448" s="667"/>
      <c r="J448" s="667"/>
      <c r="K448" s="667"/>
      <c r="L448" s="695"/>
      <c r="M448" s="497"/>
      <c r="N448" s="696"/>
    </row>
    <row r="449" spans="1:14" s="335" customFormat="1" ht="18.75" customHeight="1">
      <c r="A449" s="391"/>
      <c r="B449" s="1018" t="s">
        <v>295</v>
      </c>
      <c r="C449" s="1018"/>
      <c r="D449" s="1018"/>
      <c r="E449" s="516"/>
      <c r="F449" s="576">
        <v>15</v>
      </c>
      <c r="G449" s="516"/>
      <c r="H449" s="576">
        <v>15000</v>
      </c>
      <c r="I449" s="516"/>
      <c r="J449" s="576">
        <f>F449*H449</f>
        <v>225000</v>
      </c>
      <c r="K449" s="667"/>
      <c r="L449" s="695"/>
      <c r="M449" s="497"/>
      <c r="N449" s="696"/>
    </row>
    <row r="450" spans="1:14" s="335" customFormat="1" ht="18.75" customHeight="1">
      <c r="A450" s="391"/>
      <c r="B450" s="576" t="s">
        <v>296</v>
      </c>
      <c r="C450" s="576"/>
      <c r="D450" s="633"/>
      <c r="E450" s="516"/>
      <c r="F450" s="576">
        <v>25</v>
      </c>
      <c r="G450" s="516"/>
      <c r="H450" s="576">
        <v>2500</v>
      </c>
      <c r="I450" s="516"/>
      <c r="J450" s="576">
        <f t="shared" ref="J450" si="7">H450*F450</f>
        <v>62500</v>
      </c>
      <c r="K450" s="667"/>
      <c r="L450" s="695"/>
      <c r="M450" s="497"/>
      <c r="N450" s="696"/>
    </row>
    <row r="451" spans="1:14" ht="20">
      <c r="A451" s="665"/>
      <c r="B451" s="576" t="s">
        <v>297</v>
      </c>
      <c r="C451" s="575"/>
      <c r="D451" s="598"/>
      <c r="E451" s="518"/>
      <c r="F451" s="576">
        <v>250</v>
      </c>
      <c r="G451" s="516"/>
      <c r="H451" s="576">
        <v>300</v>
      </c>
      <c r="I451" s="516"/>
      <c r="J451" s="576">
        <f t="shared" ref="J451:J452" si="8">H451*F451</f>
        <v>75000</v>
      </c>
      <c r="K451" s="518"/>
      <c r="L451" s="552"/>
      <c r="M451" s="19"/>
      <c r="N451" s="653"/>
    </row>
    <row r="452" spans="1:14" ht="20">
      <c r="A452" s="665"/>
      <c r="B452" s="576" t="s">
        <v>298</v>
      </c>
      <c r="C452" s="575"/>
      <c r="D452" s="598"/>
      <c r="E452" s="518"/>
      <c r="F452" s="576">
        <v>500</v>
      </c>
      <c r="G452" s="516"/>
      <c r="H452" s="576">
        <v>50</v>
      </c>
      <c r="I452" s="516"/>
      <c r="J452" s="576">
        <f t="shared" si="8"/>
        <v>25000</v>
      </c>
      <c r="K452" s="518"/>
      <c r="L452" s="552"/>
      <c r="M452" s="19"/>
      <c r="N452" s="653"/>
    </row>
    <row r="453" spans="1:14" ht="20" hidden="1">
      <c r="A453" s="665"/>
      <c r="B453" s="576"/>
      <c r="C453" s="575"/>
      <c r="D453" s="598"/>
      <c r="E453" s="518"/>
      <c r="F453" s="576"/>
      <c r="G453" s="516"/>
      <c r="H453" s="576"/>
      <c r="I453" s="516"/>
      <c r="J453" s="576"/>
      <c r="K453" s="518"/>
      <c r="L453" s="552"/>
      <c r="M453" s="19"/>
    </row>
    <row r="454" spans="1:14" ht="20" hidden="1">
      <c r="A454" s="665"/>
      <c r="B454" s="576"/>
      <c r="C454" s="575"/>
      <c r="D454" s="598"/>
      <c r="E454" s="518"/>
      <c r="F454" s="576"/>
      <c r="G454" s="516"/>
      <c r="H454" s="576"/>
      <c r="I454" s="516"/>
      <c r="J454" s="576"/>
      <c r="K454" s="518"/>
      <c r="L454" s="552"/>
      <c r="M454" s="19"/>
    </row>
    <row r="455" spans="1:14" ht="20" hidden="1">
      <c r="A455" s="665"/>
      <c r="B455" s="576"/>
      <c r="C455" s="575"/>
      <c r="D455" s="598"/>
      <c r="E455" s="518"/>
      <c r="F455" s="576"/>
      <c r="G455" s="516"/>
      <c r="H455" s="576"/>
      <c r="I455" s="516"/>
      <c r="J455" s="576"/>
      <c r="K455" s="518"/>
      <c r="L455" s="552"/>
      <c r="M455" s="19"/>
    </row>
    <row r="456" spans="1:14" ht="20" hidden="1">
      <c r="A456" s="665"/>
      <c r="B456" s="576"/>
      <c r="C456" s="575"/>
      <c r="D456" s="598"/>
      <c r="E456" s="518"/>
      <c r="F456" s="576"/>
      <c r="G456" s="516"/>
      <c r="H456" s="576"/>
      <c r="I456" s="516"/>
      <c r="J456" s="576"/>
      <c r="K456" s="518"/>
      <c r="L456" s="552"/>
      <c r="M456" s="19"/>
      <c r="N456" s="653"/>
    </row>
    <row r="457" spans="1:14" ht="20" hidden="1">
      <c r="A457" s="665"/>
      <c r="B457" s="576"/>
      <c r="C457" s="575"/>
      <c r="D457" s="598"/>
      <c r="E457" s="518"/>
      <c r="F457" s="576"/>
      <c r="G457" s="516"/>
      <c r="H457" s="576"/>
      <c r="I457" s="516"/>
      <c r="J457" s="576"/>
      <c r="K457" s="518"/>
      <c r="L457" s="552"/>
      <c r="M457" s="19"/>
      <c r="N457" s="653"/>
    </row>
    <row r="458" spans="1:14" ht="19.5" hidden="1" customHeight="1">
      <c r="A458" s="665"/>
      <c r="B458" s="576"/>
      <c r="C458" s="575"/>
      <c r="D458" s="598"/>
      <c r="E458" s="518"/>
      <c r="F458" s="576"/>
      <c r="G458" s="516"/>
      <c r="H458" s="576"/>
      <c r="I458" s="516"/>
      <c r="J458" s="576"/>
      <c r="K458" s="518"/>
      <c r="L458" s="552"/>
      <c r="M458" s="19"/>
      <c r="N458" s="653"/>
    </row>
    <row r="459" spans="1:14" ht="20" hidden="1">
      <c r="A459" s="665"/>
      <c r="B459" s="576"/>
      <c r="C459" s="575"/>
      <c r="D459" s="598"/>
      <c r="E459" s="518"/>
      <c r="F459" s="576"/>
      <c r="G459" s="516"/>
      <c r="H459" s="576"/>
      <c r="I459" s="516"/>
      <c r="J459" s="576"/>
      <c r="K459" s="518"/>
      <c r="L459" s="552"/>
      <c r="M459" s="19"/>
      <c r="N459" s="653"/>
    </row>
    <row r="460" spans="1:14" ht="20" hidden="1">
      <c r="A460" s="665"/>
      <c r="B460" s="576"/>
      <c r="C460" s="575"/>
      <c r="D460" s="598"/>
      <c r="E460" s="518"/>
      <c r="F460" s="576"/>
      <c r="G460" s="516"/>
      <c r="H460" s="576"/>
      <c r="I460" s="516"/>
      <c r="J460" s="576"/>
      <c r="K460" s="518"/>
      <c r="L460" s="552"/>
      <c r="M460" s="19"/>
      <c r="N460" s="653"/>
    </row>
    <row r="461" spans="1:14" ht="20" hidden="1">
      <c r="A461" s="665"/>
      <c r="B461" s="576"/>
      <c r="C461" s="575"/>
      <c r="D461" s="598"/>
      <c r="E461" s="518"/>
      <c r="F461" s="576"/>
      <c r="G461" s="516"/>
      <c r="H461" s="576"/>
      <c r="I461" s="516"/>
      <c r="J461" s="576"/>
      <c r="K461" s="518"/>
      <c r="L461" s="552"/>
      <c r="M461" s="19"/>
      <c r="N461" s="653"/>
    </row>
    <row r="462" spans="1:14" ht="20" hidden="1">
      <c r="A462" s="665"/>
      <c r="B462" s="576"/>
      <c r="C462" s="575"/>
      <c r="D462" s="598"/>
      <c r="E462" s="518"/>
      <c r="F462" s="576"/>
      <c r="G462" s="516"/>
      <c r="H462" s="576"/>
      <c r="I462" s="516"/>
      <c r="J462" s="576"/>
      <c r="K462" s="518"/>
      <c r="L462" s="552"/>
      <c r="M462" s="19"/>
      <c r="N462" s="653"/>
    </row>
    <row r="463" spans="1:14" ht="20" hidden="1">
      <c r="A463" s="665"/>
      <c r="B463" s="576"/>
      <c r="C463" s="575"/>
      <c r="D463" s="598"/>
      <c r="E463" s="518"/>
      <c r="F463" s="576"/>
      <c r="G463" s="516"/>
      <c r="H463" s="576"/>
      <c r="I463" s="516"/>
      <c r="J463" s="576"/>
      <c r="K463" s="518"/>
      <c r="L463" s="552"/>
      <c r="M463" s="19"/>
      <c r="N463" s="653"/>
    </row>
    <row r="464" spans="1:14" ht="20" hidden="1">
      <c r="A464" s="665"/>
      <c r="B464" s="576"/>
      <c r="C464" s="575"/>
      <c r="D464" s="598"/>
      <c r="E464" s="518"/>
      <c r="F464" s="576"/>
      <c r="G464" s="516"/>
      <c r="H464" s="576"/>
      <c r="I464" s="516"/>
      <c r="J464" s="576"/>
      <c r="K464" s="518"/>
      <c r="L464" s="552"/>
      <c r="M464" s="19"/>
      <c r="N464" s="653"/>
    </row>
    <row r="465" spans="1:14" ht="20" hidden="1">
      <c r="A465" s="391"/>
      <c r="B465" s="576"/>
      <c r="C465" s="575"/>
      <c r="D465" s="598"/>
      <c r="E465" s="518"/>
      <c r="F465" s="576"/>
      <c r="G465" s="516"/>
      <c r="H465" s="576"/>
      <c r="I465" s="516"/>
      <c r="J465" s="576"/>
      <c r="K465" s="518"/>
      <c r="L465" s="552"/>
      <c r="M465" s="19"/>
      <c r="N465" s="653"/>
    </row>
    <row r="466" spans="1:14" s="336" customFormat="1" ht="13.5" customHeight="1">
      <c r="A466" s="710"/>
      <c r="B466" s="711"/>
      <c r="C466" s="712"/>
      <c r="D466" s="713"/>
      <c r="E466" s="713"/>
      <c r="F466" s="711"/>
      <c r="G466" s="714"/>
      <c r="H466" s="711"/>
      <c r="I466" s="714"/>
      <c r="J466" s="711"/>
      <c r="K466" s="713"/>
      <c r="L466" s="716"/>
      <c r="M466" s="562"/>
      <c r="N466" s="717"/>
    </row>
    <row r="467" spans="1:14" ht="20">
      <c r="A467" s="665"/>
      <c r="B467" s="507"/>
      <c r="C467" s="508"/>
      <c r="D467" s="507"/>
      <c r="E467" s="509"/>
      <c r="F467" s="507"/>
      <c r="G467" s="509"/>
      <c r="H467" s="507"/>
      <c r="I467" s="509"/>
      <c r="J467" s="611">
        <f>SUM(J449:J459)</f>
        <v>387500</v>
      </c>
      <c r="K467" s="698"/>
      <c r="L467" s="552"/>
      <c r="M467" s="19"/>
      <c r="N467" s="718"/>
    </row>
    <row r="468" spans="1:14" s="335" customFormat="1" ht="8.25" customHeight="1">
      <c r="A468" s="391"/>
      <c r="B468" s="506"/>
      <c r="C468" s="615"/>
      <c r="D468" s="666"/>
      <c r="E468" s="666"/>
      <c r="F468" s="667"/>
      <c r="G468" s="667"/>
      <c r="H468" s="667"/>
      <c r="I468" s="667"/>
      <c r="J468" s="667"/>
      <c r="K468" s="667"/>
      <c r="L468" s="695"/>
      <c r="M468" s="497"/>
      <c r="N468" s="696"/>
    </row>
    <row r="469" spans="1:14" ht="20">
      <c r="A469" s="665"/>
      <c r="B469" s="576" t="s">
        <v>299</v>
      </c>
      <c r="C469" s="508"/>
      <c r="D469" s="570">
        <f>P58</f>
        <v>18</v>
      </c>
      <c r="E469" s="633"/>
      <c r="F469" s="574" t="s">
        <v>262</v>
      </c>
      <c r="G469" s="574"/>
      <c r="H469" s="576"/>
      <c r="I469" s="509"/>
      <c r="J469" s="611">
        <f>J467*D469/100</f>
        <v>69750</v>
      </c>
      <c r="K469" s="698"/>
      <c r="L469" s="719"/>
      <c r="M469" s="19"/>
      <c r="N469" s="653"/>
    </row>
    <row r="470" spans="1:14" s="335" customFormat="1" ht="8.25" customHeight="1">
      <c r="A470" s="391"/>
      <c r="B470" s="506"/>
      <c r="C470" s="615"/>
      <c r="D470" s="666"/>
      <c r="E470" s="666"/>
      <c r="F470" s="667"/>
      <c r="G470" s="667"/>
      <c r="H470" s="667"/>
      <c r="I470" s="667"/>
      <c r="J470" s="667"/>
      <c r="K470" s="667"/>
      <c r="L470" s="695"/>
      <c r="M470" s="497"/>
      <c r="N470" s="696"/>
    </row>
    <row r="471" spans="1:14" ht="20">
      <c r="A471" s="391"/>
      <c r="B471" s="507"/>
      <c r="C471" s="508"/>
      <c r="D471" s="507"/>
      <c r="E471" s="509"/>
      <c r="F471" s="507"/>
      <c r="G471" s="509"/>
      <c r="H471" s="491" t="s">
        <v>263</v>
      </c>
      <c r="I471" s="508"/>
      <c r="J471" s="611">
        <f>SUM(J467:J469)</f>
        <v>457250</v>
      </c>
      <c r="K471" s="698"/>
      <c r="L471" s="583">
        <f>J471/P16</f>
        <v>152416.66666666666</v>
      </c>
      <c r="M471" s="19"/>
      <c r="N471" s="653"/>
    </row>
    <row r="472" spans="1:14" ht="20">
      <c r="A472" s="391"/>
      <c r="B472" s="19"/>
      <c r="C472" s="496"/>
      <c r="D472" s="19"/>
      <c r="E472" s="497"/>
      <c r="F472" s="19"/>
      <c r="G472" s="497"/>
      <c r="J472" s="123"/>
      <c r="K472" s="618"/>
      <c r="L472" s="552"/>
      <c r="M472" s="19"/>
      <c r="N472" s="653"/>
    </row>
    <row r="473" spans="1:14" ht="20">
      <c r="A473" s="391"/>
      <c r="B473" s="19"/>
      <c r="C473" s="496"/>
      <c r="D473" s="19"/>
      <c r="E473" s="497"/>
      <c r="H473" s="123"/>
      <c r="I473" s="618"/>
      <c r="J473" s="720"/>
      <c r="K473" s="721"/>
      <c r="L473" s="719"/>
      <c r="M473" s="19"/>
      <c r="N473" s="653"/>
    </row>
    <row r="474" spans="1:14" ht="20">
      <c r="A474" s="665"/>
      <c r="B474" s="576" t="s">
        <v>300</v>
      </c>
      <c r="C474" s="575"/>
      <c r="D474" s="576"/>
      <c r="E474" s="576"/>
      <c r="F474" s="576"/>
      <c r="G474" s="576"/>
      <c r="H474" s="620"/>
      <c r="I474" s="620"/>
      <c r="J474" s="722"/>
      <c r="K474" s="723"/>
      <c r="L474" s="694">
        <f>L471</f>
        <v>152416.66666666666</v>
      </c>
      <c r="M474" s="19"/>
      <c r="N474" s="653"/>
    </row>
    <row r="475" spans="1:14" s="335" customFormat="1" ht="8.25" customHeight="1">
      <c r="A475" s="391"/>
      <c r="B475" s="506"/>
      <c r="C475" s="615"/>
      <c r="D475" s="666"/>
      <c r="E475" s="666"/>
      <c r="F475" s="667"/>
      <c r="G475" s="667"/>
      <c r="H475" s="667"/>
      <c r="I475" s="667"/>
      <c r="J475" s="667"/>
      <c r="K475" s="667"/>
      <c r="L475" s="695"/>
      <c r="M475" s="497"/>
      <c r="N475" s="696"/>
    </row>
    <row r="476" spans="1:14" ht="20">
      <c r="A476" s="665"/>
      <c r="B476" s="576" t="s">
        <v>301</v>
      </c>
      <c r="C476" s="575"/>
      <c r="D476" s="709"/>
      <c r="E476" s="709"/>
      <c r="F476" s="709"/>
      <c r="G476" s="709"/>
      <c r="H476" s="576"/>
      <c r="I476" s="576"/>
      <c r="J476" s="576"/>
      <c r="K476" s="509"/>
      <c r="L476" s="694">
        <f>SUM(L421)</f>
        <v>116082.54583333332</v>
      </c>
      <c r="M476" s="19"/>
      <c r="N476" s="653"/>
    </row>
    <row r="477" spans="1:14" s="335" customFormat="1" ht="8.25" customHeight="1">
      <c r="A477" s="391"/>
      <c r="B477" s="506"/>
      <c r="C477" s="615"/>
      <c r="D477" s="666"/>
      <c r="E477" s="666"/>
      <c r="F477" s="667"/>
      <c r="G477" s="667"/>
      <c r="H477" s="667"/>
      <c r="I477" s="667"/>
      <c r="J477" s="667"/>
      <c r="K477" s="667"/>
      <c r="L477" s="695"/>
      <c r="M477" s="497"/>
      <c r="N477" s="696"/>
    </row>
    <row r="478" spans="1:14" ht="20">
      <c r="A478" s="665"/>
      <c r="B478" s="576" t="s">
        <v>302</v>
      </c>
      <c r="C478" s="575"/>
      <c r="D478" s="576"/>
      <c r="E478" s="576"/>
      <c r="F478" s="576"/>
      <c r="G478" s="576"/>
      <c r="H478" s="576"/>
      <c r="I478" s="576"/>
      <c r="J478" s="604"/>
      <c r="K478" s="614"/>
      <c r="L478" s="694">
        <f>L471-L476</f>
        <v>36334.120833333334</v>
      </c>
      <c r="M478" s="19"/>
      <c r="N478" s="653"/>
    </row>
    <row r="479" spans="1:14" s="335" customFormat="1" ht="8.25" customHeight="1">
      <c r="A479" s="391"/>
      <c r="B479" s="506"/>
      <c r="C479" s="615"/>
      <c r="D479" s="666"/>
      <c r="E479" s="666"/>
      <c r="F479" s="667"/>
      <c r="G479" s="667"/>
      <c r="H479" s="667"/>
      <c r="I479" s="667"/>
      <c r="J479" s="667"/>
      <c r="K479" s="667"/>
      <c r="L479" s="695"/>
      <c r="M479" s="497"/>
      <c r="N479" s="696"/>
    </row>
    <row r="480" spans="1:14" ht="20">
      <c r="A480" s="665"/>
      <c r="B480" s="576" t="s">
        <v>303</v>
      </c>
      <c r="C480" s="575"/>
      <c r="D480" s="576"/>
      <c r="E480" s="576"/>
      <c r="F480" s="576"/>
      <c r="G480" s="576"/>
      <c r="H480" s="576"/>
      <c r="I480" s="509"/>
      <c r="J480" s="604">
        <f>L478*12</f>
        <v>436009.45</v>
      </c>
      <c r="K480" s="614"/>
      <c r="L480" s="724"/>
      <c r="M480" s="19"/>
      <c r="N480" s="653"/>
    </row>
    <row r="481" spans="1:14" s="335" customFormat="1" ht="8.25" customHeight="1">
      <c r="A481" s="391"/>
      <c r="B481" s="506"/>
      <c r="C481" s="615"/>
      <c r="D481" s="666"/>
      <c r="E481" s="666"/>
      <c r="F481" s="667"/>
      <c r="G481" s="667"/>
      <c r="H481" s="667"/>
      <c r="I481" s="667"/>
      <c r="J481" s="667"/>
      <c r="K481" s="614"/>
      <c r="L481" s="695"/>
      <c r="M481" s="497"/>
      <c r="N481" s="696"/>
    </row>
    <row r="482" spans="1:14" ht="20">
      <c r="A482" s="665"/>
      <c r="B482" s="576" t="s">
        <v>304</v>
      </c>
      <c r="C482" s="575"/>
      <c r="D482" s="576"/>
      <c r="E482" s="576"/>
      <c r="F482" s="576"/>
      <c r="G482" s="576"/>
      <c r="H482" s="576"/>
      <c r="I482" s="509"/>
      <c r="J482" s="598">
        <f>J480*15/100</f>
        <v>65401.417500000003</v>
      </c>
      <c r="K482" s="614"/>
      <c r="L482" s="724"/>
      <c r="M482" s="19"/>
      <c r="N482" s="653"/>
    </row>
    <row r="483" spans="1:14" s="335" customFormat="1" ht="8.25" customHeight="1">
      <c r="A483" s="391"/>
      <c r="B483" s="506"/>
      <c r="C483" s="615"/>
      <c r="D483" s="666"/>
      <c r="E483" s="666"/>
      <c r="F483" s="667"/>
      <c r="G483" s="667"/>
      <c r="H483" s="667"/>
      <c r="I483" s="667"/>
      <c r="J483" s="667"/>
      <c r="K483" s="614"/>
      <c r="L483" s="695"/>
      <c r="M483" s="497"/>
      <c r="N483" s="696"/>
    </row>
    <row r="484" spans="1:14" ht="20">
      <c r="A484" s="665"/>
      <c r="B484" s="576"/>
      <c r="C484" s="575"/>
      <c r="D484" s="576"/>
      <c r="E484" s="576"/>
      <c r="F484" s="576"/>
      <c r="G484" s="576"/>
      <c r="H484" s="576"/>
      <c r="I484" s="509"/>
      <c r="J484" s="725">
        <f>J480-J482</f>
        <v>370608.03250000003</v>
      </c>
      <c r="K484" s="614"/>
      <c r="L484" s="724"/>
      <c r="M484" s="19"/>
      <c r="N484" s="653"/>
    </row>
    <row r="485" spans="1:14" s="335" customFormat="1" ht="8.25" customHeight="1">
      <c r="A485" s="391"/>
      <c r="B485" s="506"/>
      <c r="C485" s="615"/>
      <c r="D485" s="666"/>
      <c r="E485" s="666"/>
      <c r="F485" s="667"/>
      <c r="G485" s="667"/>
      <c r="H485" s="667"/>
      <c r="I485" s="667"/>
      <c r="J485" s="667"/>
      <c r="K485" s="614"/>
      <c r="L485" s="695"/>
      <c r="M485" s="497"/>
      <c r="N485" s="696"/>
    </row>
    <row r="486" spans="1:14" ht="20">
      <c r="A486" s="665"/>
      <c r="B486" s="576" t="s">
        <v>305</v>
      </c>
      <c r="C486" s="575"/>
      <c r="D486" s="576"/>
      <c r="E486" s="576"/>
      <c r="F486" s="576"/>
      <c r="G486" s="576"/>
      <c r="H486" s="576"/>
      <c r="I486" s="509"/>
      <c r="J486" s="726">
        <v>60000</v>
      </c>
      <c r="K486" s="614"/>
      <c r="L486" s="724"/>
      <c r="M486" s="19"/>
      <c r="N486" s="653"/>
    </row>
    <row r="487" spans="1:14" s="335" customFormat="1" ht="8.25" customHeight="1">
      <c r="A487" s="391"/>
      <c r="B487" s="506"/>
      <c r="C487" s="615"/>
      <c r="D487" s="666"/>
      <c r="E487" s="666"/>
      <c r="F487" s="667"/>
      <c r="G487" s="667"/>
      <c r="H487" s="667"/>
      <c r="I487" s="667"/>
      <c r="J487" s="667"/>
      <c r="K487" s="614"/>
      <c r="L487" s="695"/>
      <c r="M487" s="497"/>
      <c r="N487" s="696"/>
    </row>
    <row r="488" spans="1:14" ht="20">
      <c r="A488" s="665"/>
      <c r="B488" s="576"/>
      <c r="C488" s="575"/>
      <c r="D488" s="576"/>
      <c r="E488" s="576"/>
      <c r="F488" s="576"/>
      <c r="G488" s="576"/>
      <c r="H488" s="576"/>
      <c r="I488" s="509"/>
      <c r="J488" s="604">
        <f>J484-J486</f>
        <v>310608.03250000003</v>
      </c>
      <c r="K488" s="614"/>
      <c r="L488" s="724"/>
      <c r="M488" s="19"/>
      <c r="N488" s="653"/>
    </row>
    <row r="489" spans="1:14" s="335" customFormat="1" ht="8.25" customHeight="1">
      <c r="A489" s="391"/>
      <c r="B489" s="506"/>
      <c r="C489" s="615"/>
      <c r="D489" s="666"/>
      <c r="E489" s="666"/>
      <c r="F489" s="667"/>
      <c r="G489" s="667"/>
      <c r="H489" s="667"/>
      <c r="I489" s="667"/>
      <c r="J489" s="667"/>
      <c r="K489" s="614"/>
      <c r="L489" s="695"/>
      <c r="M489" s="497"/>
      <c r="N489" s="696"/>
    </row>
    <row r="490" spans="1:14" ht="20">
      <c r="A490" s="665"/>
      <c r="B490" s="576" t="s">
        <v>306</v>
      </c>
      <c r="C490" s="575"/>
      <c r="D490" s="576"/>
      <c r="E490" s="576"/>
      <c r="F490" s="576"/>
      <c r="G490" s="576"/>
      <c r="H490" s="576"/>
      <c r="I490" s="509"/>
      <c r="J490" s="604">
        <f>L411*12</f>
        <v>78100</v>
      </c>
      <c r="K490" s="614"/>
      <c r="L490" s="724"/>
      <c r="M490" s="19"/>
      <c r="N490" s="653"/>
    </row>
    <row r="491" spans="1:14" s="335" customFormat="1" ht="8.25" customHeight="1">
      <c r="A491" s="391"/>
      <c r="B491" s="506"/>
      <c r="C491" s="615"/>
      <c r="D491" s="666"/>
      <c r="E491" s="666"/>
      <c r="F491" s="667"/>
      <c r="G491" s="667"/>
      <c r="H491" s="667"/>
      <c r="I491" s="667"/>
      <c r="J491" s="667"/>
      <c r="K491" s="614"/>
      <c r="L491" s="695"/>
      <c r="M491" s="497"/>
      <c r="N491" s="696"/>
    </row>
    <row r="492" spans="1:14" ht="20">
      <c r="A492" s="665"/>
      <c r="B492" s="715" t="s">
        <v>307</v>
      </c>
      <c r="C492" s="491"/>
      <c r="D492" s="715"/>
      <c r="E492" s="715"/>
      <c r="F492" s="715"/>
      <c r="G492" s="715"/>
      <c r="H492" s="715" t="s">
        <v>308</v>
      </c>
      <c r="I492" s="509"/>
      <c r="J492" s="727">
        <f>SUM(J488:J490)</f>
        <v>388708.03250000003</v>
      </c>
      <c r="K492" s="614"/>
      <c r="L492" s="728"/>
      <c r="M492" s="19"/>
      <c r="N492" s="653"/>
    </row>
    <row r="493" spans="1:14" s="335" customFormat="1" ht="20" hidden="1">
      <c r="A493" s="391"/>
      <c r="B493" s="506"/>
      <c r="C493" s="580"/>
      <c r="D493" s="509"/>
      <c r="E493" s="509"/>
      <c r="F493" s="509"/>
      <c r="G493" s="509"/>
      <c r="H493" s="509"/>
      <c r="I493" s="509"/>
      <c r="J493" s="614"/>
      <c r="K493" s="614"/>
      <c r="L493" s="646"/>
      <c r="M493" s="497"/>
      <c r="N493" s="696"/>
    </row>
    <row r="494" spans="1:14" ht="20" hidden="1">
      <c r="A494" s="391"/>
      <c r="B494" s="202"/>
      <c r="C494" s="580"/>
      <c r="D494" s="507"/>
      <c r="E494" s="509"/>
      <c r="F494" s="507"/>
      <c r="G494" s="509"/>
      <c r="H494" s="507"/>
      <c r="I494" s="509"/>
      <c r="J494" s="608"/>
      <c r="K494" s="614"/>
      <c r="L494" s="552"/>
      <c r="M494" s="19"/>
      <c r="N494" s="653"/>
    </row>
    <row r="495" spans="1:14" ht="20" hidden="1">
      <c r="A495" s="391"/>
      <c r="B495" s="202"/>
      <c r="C495" s="580"/>
      <c r="D495" s="507"/>
      <c r="E495" s="509"/>
      <c r="F495" s="507"/>
      <c r="G495" s="509"/>
      <c r="H495" s="507"/>
      <c r="I495" s="509"/>
      <c r="J495" s="608"/>
      <c r="K495" s="614"/>
      <c r="L495" s="552"/>
      <c r="M495" s="19"/>
      <c r="N495" s="653"/>
    </row>
    <row r="496" spans="1:14" ht="20" hidden="1">
      <c r="A496" s="391"/>
      <c r="B496" s="202"/>
      <c r="C496" s="580"/>
      <c r="D496" s="507"/>
      <c r="E496" s="509"/>
      <c r="F496" s="507"/>
      <c r="G496" s="509"/>
      <c r="H496" s="507"/>
      <c r="I496" s="509"/>
      <c r="J496" s="608"/>
      <c r="K496" s="614"/>
      <c r="L496" s="552"/>
      <c r="M496" s="19"/>
      <c r="N496" s="653"/>
    </row>
    <row r="497" spans="1:14" ht="20" hidden="1">
      <c r="A497" s="391"/>
      <c r="B497" s="202"/>
      <c r="C497" s="580"/>
      <c r="D497" s="507"/>
      <c r="E497" s="509"/>
      <c r="F497" s="507"/>
      <c r="G497" s="509"/>
      <c r="H497" s="507"/>
      <c r="I497" s="509"/>
      <c r="J497" s="608"/>
      <c r="K497" s="614"/>
      <c r="L497" s="552"/>
      <c r="M497" s="19"/>
      <c r="N497" s="653"/>
    </row>
    <row r="498" spans="1:14" ht="20" hidden="1">
      <c r="A498" s="391"/>
      <c r="B498" s="202"/>
      <c r="C498" s="580"/>
      <c r="D498" s="507"/>
      <c r="E498" s="509"/>
      <c r="F498" s="507"/>
      <c r="G498" s="509"/>
      <c r="H498" s="507"/>
      <c r="I498" s="509"/>
      <c r="J498" s="608"/>
      <c r="K498" s="614"/>
      <c r="L498" s="552"/>
      <c r="M498" s="19"/>
      <c r="N498" s="653"/>
    </row>
    <row r="499" spans="1:14" ht="20" hidden="1">
      <c r="A499" s="391"/>
      <c r="B499" s="202"/>
      <c r="C499" s="580"/>
      <c r="D499" s="507"/>
      <c r="E499" s="509"/>
      <c r="F499" s="507"/>
      <c r="G499" s="509"/>
      <c r="H499" s="507"/>
      <c r="I499" s="509"/>
      <c r="J499" s="608"/>
      <c r="K499" s="614"/>
      <c r="L499" s="552"/>
      <c r="M499" s="19"/>
      <c r="N499" s="653"/>
    </row>
    <row r="500" spans="1:14" ht="20">
      <c r="A500" s="391"/>
      <c r="B500" s="202"/>
      <c r="C500" s="580"/>
      <c r="D500" s="507"/>
      <c r="E500" s="509"/>
      <c r="F500" s="507"/>
      <c r="G500" s="509"/>
      <c r="H500" s="507"/>
      <c r="I500" s="509"/>
      <c r="J500" s="608"/>
      <c r="K500" s="614"/>
      <c r="L500" s="552"/>
      <c r="M500" s="19"/>
      <c r="N500" s="653"/>
    </row>
    <row r="501" spans="1:14" ht="20">
      <c r="A501" s="391"/>
      <c r="B501" s="202"/>
      <c r="C501" s="580"/>
      <c r="D501" s="507"/>
      <c r="E501" s="509"/>
      <c r="F501" s="507"/>
      <c r="G501" s="509"/>
      <c r="H501" s="507"/>
      <c r="I501" s="509"/>
      <c r="J501" s="608"/>
      <c r="K501" s="614"/>
      <c r="L501" s="552"/>
      <c r="M501" s="19"/>
      <c r="N501" s="653"/>
    </row>
    <row r="502" spans="1:14" ht="20">
      <c r="A502" s="391"/>
      <c r="B502" s="202"/>
      <c r="C502" s="580"/>
      <c r="D502" s="507"/>
      <c r="E502" s="509"/>
      <c r="F502" s="507"/>
      <c r="G502" s="509"/>
      <c r="H502" s="507"/>
      <c r="I502" s="509"/>
      <c r="J502" s="608"/>
      <c r="K502" s="614"/>
      <c r="L502" s="552"/>
      <c r="M502" s="19"/>
      <c r="N502" s="653"/>
    </row>
    <row r="503" spans="1:14" ht="20">
      <c r="A503" s="391"/>
      <c r="B503" s="202"/>
      <c r="C503" s="580"/>
      <c r="D503" s="507"/>
      <c r="E503" s="509"/>
      <c r="F503" s="507"/>
      <c r="G503" s="509"/>
      <c r="H503" s="507"/>
      <c r="I503" s="509"/>
      <c r="J503" s="608"/>
      <c r="K503" s="614"/>
      <c r="L503" s="552"/>
      <c r="M503" s="19"/>
      <c r="N503" s="653"/>
    </row>
    <row r="504" spans="1:14" ht="20">
      <c r="A504" s="391"/>
      <c r="B504" s="202"/>
      <c r="C504" s="580"/>
      <c r="D504" s="507"/>
      <c r="E504" s="509"/>
      <c r="F504" s="507"/>
      <c r="G504" s="509"/>
      <c r="H504" s="507"/>
      <c r="I504" s="509"/>
      <c r="J504" s="608"/>
      <c r="K504" s="614"/>
      <c r="L504" s="552"/>
      <c r="M504" s="19"/>
      <c r="N504" s="653"/>
    </row>
    <row r="505" spans="1:14" ht="20">
      <c r="A505" s="391"/>
      <c r="B505" s="202"/>
      <c r="C505" s="580"/>
      <c r="D505" s="507"/>
      <c r="E505" s="509"/>
      <c r="F505" s="507"/>
      <c r="G505" s="509"/>
      <c r="H505" s="507"/>
      <c r="I505" s="509"/>
      <c r="J505" s="608"/>
      <c r="K505" s="614"/>
      <c r="L505" s="552"/>
      <c r="M505" s="19"/>
      <c r="N505" s="653"/>
    </row>
    <row r="506" spans="1:14" ht="20">
      <c r="A506" s="391"/>
      <c r="B506" s="202"/>
      <c r="C506" s="580"/>
      <c r="D506" s="507"/>
      <c r="E506" s="509"/>
      <c r="F506" s="507"/>
      <c r="G506" s="509"/>
      <c r="H506" s="507"/>
      <c r="I506" s="509"/>
      <c r="J506" s="608"/>
      <c r="K506" s="614"/>
      <c r="L506" s="552"/>
      <c r="M506" s="19"/>
      <c r="N506" s="653"/>
    </row>
    <row r="507" spans="1:14" ht="20">
      <c r="A507" s="391"/>
      <c r="B507" s="202"/>
      <c r="C507" s="580"/>
      <c r="D507" s="507"/>
      <c r="E507" s="509"/>
      <c r="F507" s="507"/>
      <c r="G507" s="509"/>
      <c r="H507" s="507"/>
      <c r="I507" s="509"/>
      <c r="J507" s="608"/>
      <c r="K507" s="614"/>
      <c r="L507" s="552"/>
      <c r="M507" s="19"/>
      <c r="N507" s="653"/>
    </row>
    <row r="508" spans="1:14" ht="20">
      <c r="A508" s="391"/>
      <c r="B508" s="202"/>
      <c r="C508" s="580"/>
      <c r="D508" s="507"/>
      <c r="E508" s="509"/>
      <c r="F508" s="507"/>
      <c r="G508" s="509"/>
      <c r="H508" s="507"/>
      <c r="I508" s="509"/>
      <c r="J508" s="608"/>
      <c r="K508" s="614"/>
      <c r="L508" s="552"/>
      <c r="M508" s="19"/>
      <c r="N508" s="653"/>
    </row>
    <row r="509" spans="1:14" ht="20" hidden="1">
      <c r="A509" s="391"/>
      <c r="B509" s="202"/>
      <c r="C509" s="580"/>
      <c r="D509" s="507"/>
      <c r="E509" s="509"/>
      <c r="F509" s="507"/>
      <c r="G509" s="509"/>
      <c r="H509" s="507"/>
      <c r="I509" s="509"/>
      <c r="J509" s="608"/>
      <c r="K509" s="614"/>
      <c r="L509" s="552"/>
      <c r="M509" s="19"/>
      <c r="N509" s="653"/>
    </row>
    <row r="510" spans="1:14" ht="20" hidden="1">
      <c r="A510" s="391"/>
      <c r="B510" s="202"/>
      <c r="C510" s="580"/>
      <c r="D510" s="507"/>
      <c r="E510" s="509"/>
      <c r="F510" s="507"/>
      <c r="G510" s="509"/>
      <c r="H510" s="507"/>
      <c r="I510" s="509"/>
      <c r="J510" s="608"/>
      <c r="K510" s="614"/>
      <c r="L510" s="552"/>
      <c r="M510" s="19"/>
      <c r="N510" s="653"/>
    </row>
    <row r="511" spans="1:14" ht="20" hidden="1">
      <c r="A511" s="391"/>
      <c r="B511" s="202"/>
      <c r="C511" s="580"/>
      <c r="D511" s="507"/>
      <c r="E511" s="509"/>
      <c r="F511" s="507"/>
      <c r="G511" s="509"/>
      <c r="H511" s="507"/>
      <c r="I511" s="509"/>
      <c r="J511" s="608"/>
      <c r="K511" s="614"/>
      <c r="L511" s="552"/>
      <c r="M511" s="19"/>
      <c r="N511" s="653"/>
    </row>
    <row r="512" spans="1:14" ht="20" hidden="1">
      <c r="A512" s="391"/>
      <c r="B512" s="202"/>
      <c r="C512" s="580"/>
      <c r="D512" s="507"/>
      <c r="E512" s="509"/>
      <c r="F512" s="507"/>
      <c r="G512" s="509"/>
      <c r="H512" s="507"/>
      <c r="I512" s="509"/>
      <c r="J512" s="608"/>
      <c r="K512" s="614"/>
      <c r="L512" s="552"/>
      <c r="M512" s="19"/>
      <c r="N512" s="653"/>
    </row>
    <row r="513" spans="1:14" ht="20" hidden="1">
      <c r="A513" s="391"/>
      <c r="B513" s="202"/>
      <c r="C513" s="580"/>
      <c r="D513" s="507"/>
      <c r="E513" s="509"/>
      <c r="F513" s="507"/>
      <c r="G513" s="509"/>
      <c r="H513" s="507"/>
      <c r="I513" s="509"/>
      <c r="J513" s="608"/>
      <c r="K513" s="614"/>
      <c r="L513" s="552"/>
      <c r="M513" s="19"/>
      <c r="N513" s="653"/>
    </row>
    <row r="514" spans="1:14" ht="20" hidden="1">
      <c r="A514" s="391"/>
      <c r="B514" s="202"/>
      <c r="C514" s="580"/>
      <c r="D514" s="507"/>
      <c r="E514" s="509"/>
      <c r="F514" s="507"/>
      <c r="G514" s="509"/>
      <c r="H514" s="507"/>
      <c r="I514" s="509"/>
      <c r="J514" s="608"/>
      <c r="K514" s="614"/>
      <c r="L514" s="552"/>
      <c r="M514" s="19"/>
      <c r="N514" s="653"/>
    </row>
    <row r="515" spans="1:14" ht="20" hidden="1">
      <c r="A515" s="391"/>
      <c r="B515" s="202"/>
      <c r="C515" s="580"/>
      <c r="D515" s="507"/>
      <c r="E515" s="509"/>
      <c r="F515" s="507"/>
      <c r="G515" s="509"/>
      <c r="H515" s="507"/>
      <c r="I515" s="509"/>
      <c r="J515" s="608"/>
      <c r="K515" s="614"/>
      <c r="L515" s="552"/>
      <c r="M515" s="19"/>
      <c r="N515" s="653"/>
    </row>
    <row r="516" spans="1:14" ht="20" hidden="1">
      <c r="A516" s="391"/>
      <c r="B516" s="202"/>
      <c r="C516" s="580"/>
      <c r="D516" s="507"/>
      <c r="E516" s="509"/>
      <c r="F516" s="507"/>
      <c r="G516" s="509"/>
      <c r="H516" s="507"/>
      <c r="I516" s="509"/>
      <c r="J516" s="608"/>
      <c r="K516" s="614"/>
      <c r="L516" s="552"/>
      <c r="M516" s="19"/>
      <c r="N516" s="653"/>
    </row>
    <row r="517" spans="1:14" ht="20" hidden="1">
      <c r="A517" s="391"/>
      <c r="B517" s="202"/>
      <c r="C517" s="580"/>
      <c r="D517" s="507"/>
      <c r="E517" s="509"/>
      <c r="F517" s="507"/>
      <c r="G517" s="509"/>
      <c r="H517" s="507"/>
      <c r="I517" s="509"/>
      <c r="J517" s="608"/>
      <c r="K517" s="614"/>
      <c r="L517" s="552"/>
      <c r="M517" s="19"/>
      <c r="N517" s="653"/>
    </row>
    <row r="518" spans="1:14" ht="20" hidden="1">
      <c r="A518" s="391"/>
      <c r="B518" s="202"/>
      <c r="C518" s="580"/>
      <c r="D518" s="507"/>
      <c r="E518" s="509"/>
      <c r="F518" s="507"/>
      <c r="G518" s="509"/>
      <c r="H518" s="507"/>
      <c r="I518" s="509"/>
      <c r="J518" s="608"/>
      <c r="K518" s="614"/>
      <c r="L518" s="552"/>
      <c r="M518" s="19"/>
      <c r="N518" s="653"/>
    </row>
    <row r="519" spans="1:14" ht="20" hidden="1">
      <c r="A519" s="391"/>
      <c r="B519" s="202"/>
      <c r="C519" s="580"/>
      <c r="D519" s="507"/>
      <c r="E519" s="509"/>
      <c r="F519" s="507"/>
      <c r="G519" s="509"/>
      <c r="H519" s="507"/>
      <c r="I519" s="509"/>
      <c r="J519" s="608"/>
      <c r="K519" s="614"/>
      <c r="L519" s="552"/>
      <c r="M519" s="19"/>
      <c r="N519" s="653"/>
    </row>
    <row r="520" spans="1:14" ht="20" hidden="1">
      <c r="A520" s="391"/>
      <c r="B520" s="202"/>
      <c r="C520" s="580"/>
      <c r="D520" s="507"/>
      <c r="E520" s="509"/>
      <c r="F520" s="507"/>
      <c r="G520" s="509"/>
      <c r="H520" s="507"/>
      <c r="I520" s="509"/>
      <c r="J520" s="608"/>
      <c r="K520" s="614"/>
      <c r="L520" s="552"/>
      <c r="M520" s="19"/>
      <c r="N520" s="653"/>
    </row>
    <row r="521" spans="1:14" ht="20" hidden="1">
      <c r="A521" s="391"/>
      <c r="B521" s="202"/>
      <c r="C521" s="580"/>
      <c r="D521" s="507"/>
      <c r="E521" s="509"/>
      <c r="F521" s="507"/>
      <c r="G521" s="509"/>
      <c r="H521" s="507"/>
      <c r="I521" s="509"/>
      <c r="J521" s="608"/>
      <c r="K521" s="614"/>
      <c r="L521" s="552"/>
      <c r="M521" s="19"/>
      <c r="N521" s="653"/>
    </row>
    <row r="522" spans="1:14" ht="20" hidden="1">
      <c r="A522" s="391"/>
      <c r="B522" s="202"/>
      <c r="C522" s="580"/>
      <c r="D522" s="507"/>
      <c r="E522" s="509"/>
      <c r="F522" s="507"/>
      <c r="G522" s="509"/>
      <c r="H522" s="507"/>
      <c r="I522" s="509"/>
      <c r="J522" s="608"/>
      <c r="K522" s="614"/>
      <c r="L522" s="552"/>
      <c r="M522" s="19"/>
      <c r="N522" s="653"/>
    </row>
    <row r="523" spans="1:14" ht="15.5" hidden="1">
      <c r="A523" s="391"/>
      <c r="B523" s="21"/>
      <c r="C523" s="615"/>
      <c r="D523" s="19"/>
      <c r="E523" s="497"/>
      <c r="F523" s="19"/>
      <c r="G523" s="497"/>
      <c r="H523" s="19"/>
      <c r="I523" s="497"/>
      <c r="J523" s="100"/>
      <c r="K523" s="605"/>
      <c r="L523" s="548"/>
      <c r="M523" s="19"/>
      <c r="N523" s="653"/>
    </row>
    <row r="524" spans="1:14" ht="15.5" hidden="1">
      <c r="A524" s="391"/>
      <c r="B524" s="21"/>
      <c r="C524" s="615"/>
      <c r="D524" s="19"/>
      <c r="E524" s="497"/>
      <c r="F524" s="19"/>
      <c r="G524" s="497"/>
      <c r="H524" s="19"/>
      <c r="I524" s="497"/>
      <c r="J524" s="100"/>
      <c r="K524" s="605"/>
      <c r="L524" s="548"/>
      <c r="M524" s="19"/>
      <c r="N524" s="653"/>
    </row>
    <row r="525" spans="1:14" ht="15.5" hidden="1">
      <c r="A525" s="391"/>
      <c r="B525" s="21"/>
      <c r="C525" s="615"/>
      <c r="D525" s="19"/>
      <c r="E525" s="497"/>
      <c r="F525" s="19"/>
      <c r="G525" s="497"/>
      <c r="H525" s="19"/>
      <c r="I525" s="497"/>
      <c r="J525" s="100"/>
      <c r="K525" s="605"/>
      <c r="L525" s="548"/>
      <c r="M525" s="19"/>
      <c r="N525" s="653"/>
    </row>
    <row r="526" spans="1:14" ht="15.5" hidden="1">
      <c r="A526" s="391"/>
      <c r="B526" s="21"/>
      <c r="C526" s="615"/>
      <c r="D526" s="19"/>
      <c r="E526" s="497"/>
      <c r="F526" s="19"/>
      <c r="G526" s="497"/>
      <c r="H526" s="19"/>
      <c r="I526" s="497"/>
      <c r="J526" s="100"/>
      <c r="K526" s="605"/>
      <c r="L526" s="548"/>
      <c r="M526" s="19"/>
      <c r="N526" s="653"/>
    </row>
    <row r="527" spans="1:14" ht="15" hidden="1" customHeight="1">
      <c r="A527" s="391"/>
      <c r="B527" s="21"/>
      <c r="C527" s="615"/>
      <c r="D527" s="19"/>
      <c r="E527" s="497"/>
      <c r="F527" s="19"/>
      <c r="G527" s="497"/>
      <c r="H527" s="19"/>
      <c r="I527" s="497"/>
      <c r="J527" s="100"/>
      <c r="K527" s="605"/>
      <c r="L527" s="548"/>
      <c r="M527" s="19"/>
      <c r="N527" s="653"/>
    </row>
    <row r="528" spans="1:14" ht="15.5" hidden="1">
      <c r="A528" s="391"/>
      <c r="B528" s="21"/>
      <c r="C528" s="615"/>
      <c r="D528" s="19"/>
      <c r="E528" s="497"/>
      <c r="F528" s="19"/>
      <c r="G528" s="497"/>
      <c r="H528" s="19"/>
      <c r="I528" s="497"/>
      <c r="J528" s="100"/>
      <c r="K528" s="605"/>
      <c r="L528" s="548"/>
      <c r="M528" s="19"/>
      <c r="N528" s="653"/>
    </row>
    <row r="529" spans="1:14" ht="6.75" hidden="1" customHeight="1">
      <c r="A529" s="391"/>
      <c r="B529" s="21"/>
      <c r="C529" s="615"/>
      <c r="D529" s="19"/>
      <c r="E529" s="497"/>
      <c r="F529" s="19"/>
      <c r="G529" s="497"/>
      <c r="H529" s="19"/>
      <c r="I529" s="497"/>
      <c r="J529" s="100"/>
      <c r="K529" s="605"/>
      <c r="L529" s="548"/>
      <c r="M529" s="19"/>
      <c r="N529" s="653"/>
    </row>
    <row r="530" spans="1:14" ht="6.75" hidden="1" customHeight="1">
      <c r="A530" s="391"/>
      <c r="B530" s="21"/>
      <c r="C530" s="615"/>
      <c r="D530" s="19"/>
      <c r="E530" s="497"/>
      <c r="F530" s="19"/>
      <c r="G530" s="497"/>
      <c r="H530" s="19"/>
      <c r="I530" s="497"/>
      <c r="J530" s="100"/>
      <c r="K530" s="605"/>
      <c r="L530" s="548"/>
      <c r="M530" s="19"/>
      <c r="N530" s="653"/>
    </row>
    <row r="531" spans="1:14" ht="6.75" hidden="1" customHeight="1">
      <c r="A531" s="391"/>
      <c r="B531" s="21"/>
      <c r="C531" s="615"/>
      <c r="D531" s="19"/>
      <c r="E531" s="497"/>
      <c r="F531" s="19"/>
      <c r="G531" s="497"/>
      <c r="H531" s="19"/>
      <c r="I531" s="497"/>
      <c r="J531" s="100"/>
      <c r="K531" s="605"/>
      <c r="L531" s="548"/>
      <c r="M531" s="19"/>
      <c r="N531" s="653"/>
    </row>
    <row r="532" spans="1:14" ht="15.5" hidden="1">
      <c r="A532" s="391"/>
      <c r="B532" s="21"/>
      <c r="C532" s="615"/>
      <c r="D532" s="19"/>
      <c r="E532" s="497"/>
      <c r="F532" s="19"/>
      <c r="G532" s="497"/>
      <c r="H532" s="19"/>
      <c r="I532" s="497"/>
      <c r="J532" s="100"/>
      <c r="K532" s="605"/>
      <c r="L532" s="548"/>
      <c r="M532" s="19"/>
      <c r="N532" s="653"/>
    </row>
    <row r="533" spans="1:14" ht="15.5" hidden="1">
      <c r="A533" s="391"/>
      <c r="B533" s="21"/>
      <c r="C533" s="615"/>
      <c r="D533" s="19"/>
      <c r="E533" s="497"/>
      <c r="F533" s="19"/>
      <c r="G533" s="497"/>
      <c r="H533" s="19"/>
      <c r="I533" s="497"/>
      <c r="J533" s="100"/>
      <c r="K533" s="605"/>
      <c r="L533" s="548"/>
      <c r="M533" s="19"/>
      <c r="N533" s="653"/>
    </row>
    <row r="534" spans="1:14" ht="15.5" hidden="1">
      <c r="A534" s="391"/>
      <c r="B534" s="21"/>
      <c r="C534" s="615"/>
      <c r="D534" s="19"/>
      <c r="E534" s="497"/>
      <c r="F534" s="19"/>
      <c r="G534" s="497"/>
      <c r="H534" s="19"/>
      <c r="I534" s="497"/>
      <c r="J534" s="100"/>
      <c r="K534" s="605"/>
      <c r="L534" s="548"/>
      <c r="M534" s="19"/>
      <c r="N534" s="653"/>
    </row>
    <row r="535" spans="1:14" ht="15.5" hidden="1">
      <c r="A535" s="391"/>
      <c r="B535" s="21"/>
      <c r="C535" s="615"/>
      <c r="D535" s="19"/>
      <c r="E535" s="497"/>
      <c r="F535" s="19"/>
      <c r="G535" s="497"/>
      <c r="H535" s="19"/>
      <c r="I535" s="497"/>
      <c r="J535" s="100"/>
      <c r="K535" s="605"/>
      <c r="L535" s="548"/>
      <c r="M535" s="19"/>
      <c r="N535" s="653"/>
    </row>
    <row r="536" spans="1:14" ht="15.5">
      <c r="A536" s="391"/>
      <c r="B536" s="21"/>
      <c r="C536" s="615"/>
      <c r="D536" s="19"/>
      <c r="E536" s="497"/>
      <c r="F536" s="19"/>
      <c r="G536" s="497"/>
      <c r="H536" s="19"/>
      <c r="I536" s="497"/>
      <c r="J536" s="100"/>
      <c r="K536" s="605"/>
      <c r="L536" s="548"/>
      <c r="M536" s="19"/>
      <c r="N536" s="653"/>
    </row>
    <row r="537" spans="1:14" ht="15.5">
      <c r="A537" s="391"/>
      <c r="B537" s="21"/>
      <c r="C537" s="615"/>
      <c r="D537" s="19"/>
      <c r="E537" s="497"/>
      <c r="F537" s="19"/>
      <c r="G537" s="497"/>
      <c r="H537" s="19"/>
      <c r="I537" s="497"/>
      <c r="J537" s="100"/>
      <c r="K537" s="605"/>
      <c r="L537" s="548"/>
      <c r="M537" s="19"/>
      <c r="N537" s="653"/>
    </row>
    <row r="538" spans="1:14" ht="15.5">
      <c r="A538" s="391"/>
      <c r="B538" s="21"/>
      <c r="C538" s="615"/>
      <c r="D538" s="19"/>
      <c r="E538" s="497"/>
      <c r="F538" s="19"/>
      <c r="G538" s="497"/>
      <c r="H538" s="19"/>
      <c r="I538" s="497"/>
      <c r="J538" s="100"/>
      <c r="K538" s="605"/>
      <c r="L538" s="548"/>
      <c r="M538" s="19"/>
      <c r="N538" s="653"/>
    </row>
    <row r="539" spans="1:14" ht="15.5">
      <c r="A539" s="382"/>
      <c r="B539" s="621"/>
      <c r="C539" s="622"/>
      <c r="D539" s="584"/>
      <c r="E539" s="586"/>
      <c r="F539" s="584"/>
      <c r="G539" s="586"/>
      <c r="H539" s="584"/>
      <c r="I539" s="586"/>
      <c r="J539" s="736"/>
      <c r="K539" s="737"/>
      <c r="L539" s="645"/>
      <c r="M539" s="19"/>
      <c r="N539" s="653"/>
    </row>
    <row r="540" spans="1:14" ht="15.5">
      <c r="B540" s="21"/>
      <c r="C540" s="615"/>
      <c r="D540" s="19"/>
      <c r="E540" s="497"/>
      <c r="F540" s="19"/>
      <c r="G540" s="497"/>
      <c r="H540" s="19"/>
      <c r="I540" s="497"/>
      <c r="J540" s="100"/>
      <c r="K540" s="605"/>
      <c r="L540" s="19"/>
      <c r="M540" s="19"/>
      <c r="N540" s="653"/>
    </row>
    <row r="541" spans="1:14" ht="15.5">
      <c r="A541" s="383"/>
      <c r="B541" s="621"/>
      <c r="C541" s="622"/>
      <c r="D541" s="584"/>
      <c r="E541" s="586"/>
      <c r="F541" s="584"/>
      <c r="G541" s="586"/>
      <c r="H541" s="584"/>
      <c r="I541" s="586"/>
      <c r="J541" s="736"/>
      <c r="K541" s="737"/>
      <c r="L541" s="584"/>
      <c r="M541" s="19"/>
      <c r="N541" s="653"/>
    </row>
    <row r="542" spans="1:14" ht="15.5">
      <c r="A542" s="391"/>
      <c r="B542" s="21"/>
      <c r="C542" s="615"/>
      <c r="D542" s="19"/>
      <c r="E542" s="497"/>
      <c r="F542" s="19"/>
      <c r="G542" s="497"/>
      <c r="H542" s="19"/>
      <c r="I542" s="497"/>
      <c r="J542" s="100"/>
      <c r="K542" s="605"/>
      <c r="L542" s="548"/>
      <c r="M542" s="19"/>
      <c r="N542" s="653"/>
    </row>
    <row r="543" spans="1:14" ht="20">
      <c r="A543" s="391"/>
      <c r="B543" s="729" t="s">
        <v>309</v>
      </c>
      <c r="C543" s="730"/>
      <c r="D543" s="41"/>
      <c r="E543" s="497"/>
      <c r="F543" s="19"/>
      <c r="G543" s="497"/>
      <c r="H543" s="19"/>
      <c r="I543" s="497"/>
      <c r="J543" s="19"/>
      <c r="K543" s="497"/>
      <c r="L543" s="548"/>
      <c r="M543" s="19"/>
      <c r="N543" s="653"/>
    </row>
    <row r="544" spans="1:14" ht="15.5">
      <c r="A544" s="391"/>
      <c r="B544" s="731"/>
      <c r="C544" s="732"/>
      <c r="D544" s="19"/>
      <c r="E544" s="497"/>
      <c r="F544" s="19"/>
      <c r="G544" s="497"/>
      <c r="H544" s="19"/>
      <c r="I544" s="497"/>
      <c r="J544" s="19"/>
      <c r="K544" s="497"/>
      <c r="L544" s="548" t="s">
        <v>310</v>
      </c>
      <c r="M544" s="19"/>
      <c r="N544" s="653"/>
    </row>
    <row r="545" spans="1:14" ht="15.5">
      <c r="A545" s="391"/>
      <c r="B545" s="19"/>
      <c r="C545" s="496"/>
      <c r="D545" s="733"/>
      <c r="E545" s="734"/>
      <c r="G545" s="497"/>
      <c r="H545" s="19"/>
      <c r="I545" s="497"/>
      <c r="J545" s="19"/>
      <c r="K545" s="497"/>
      <c r="L545" s="738"/>
      <c r="M545" s="19"/>
      <c r="N545" s="653"/>
    </row>
    <row r="546" spans="1:14" ht="20">
      <c r="A546" s="665"/>
      <c r="B546" s="491" t="s">
        <v>311</v>
      </c>
      <c r="C546" s="491"/>
      <c r="D546" s="715"/>
      <c r="E546" s="715"/>
      <c r="F546" s="715"/>
      <c r="G546" s="715"/>
      <c r="H546" s="715"/>
      <c r="I546" s="715"/>
      <c r="J546" s="715"/>
      <c r="K546" s="509"/>
      <c r="L546" s="739">
        <f>L471*12/100000</f>
        <v>18.29</v>
      </c>
      <c r="M546" s="19"/>
      <c r="N546" s="653"/>
    </row>
    <row r="547" spans="1:14" s="335" customFormat="1" ht="20">
      <c r="A547" s="391"/>
      <c r="B547" s="509"/>
      <c r="C547" s="508"/>
      <c r="D547" s="509"/>
      <c r="E547" s="509"/>
      <c r="F547" s="509"/>
      <c r="G547" s="509"/>
      <c r="H547" s="509"/>
      <c r="I547" s="509"/>
      <c r="J547" s="509"/>
      <c r="K547" s="509"/>
      <c r="L547" s="740"/>
      <c r="M547" s="741"/>
      <c r="N547" s="696"/>
    </row>
    <row r="548" spans="1:14" ht="20">
      <c r="A548" s="665"/>
      <c r="B548" s="735" t="s">
        <v>312</v>
      </c>
      <c r="C548" s="508"/>
      <c r="D548" s="507"/>
      <c r="E548" s="509"/>
      <c r="F548" s="507"/>
      <c r="G548" s="509"/>
      <c r="H548" s="507"/>
      <c r="I548" s="509"/>
      <c r="J548" s="507"/>
      <c r="K548" s="509"/>
      <c r="L548" s="742"/>
      <c r="M548" s="19"/>
      <c r="N548" s="653"/>
    </row>
    <row r="549" spans="1:14" s="335" customFormat="1" ht="8.25" customHeight="1">
      <c r="A549" s="391"/>
      <c r="B549" s="506"/>
      <c r="C549" s="580"/>
      <c r="D549" s="666"/>
      <c r="E549" s="666"/>
      <c r="F549" s="667"/>
      <c r="G549" s="667"/>
      <c r="H549" s="667"/>
      <c r="I549" s="667"/>
      <c r="J549" s="667"/>
      <c r="K549" s="667"/>
      <c r="L549" s="695"/>
      <c r="M549" s="497"/>
      <c r="N549" s="696"/>
    </row>
    <row r="550" spans="1:14" ht="20">
      <c r="A550" s="665"/>
      <c r="B550" s="576" t="s">
        <v>313</v>
      </c>
      <c r="C550" s="575"/>
      <c r="D550" s="576"/>
      <c r="E550" s="576"/>
      <c r="F550" s="576"/>
      <c r="G550" s="576"/>
      <c r="H550" s="576"/>
      <c r="I550" s="576"/>
      <c r="J550" s="576"/>
      <c r="K550" s="509"/>
      <c r="L550" s="743">
        <f>L387*12/100000</f>
        <v>5.5932000000000004</v>
      </c>
      <c r="M550" s="19"/>
      <c r="N550" s="653"/>
    </row>
    <row r="551" spans="1:14" s="335" customFormat="1" ht="8.25" customHeight="1">
      <c r="A551" s="391"/>
      <c r="B551" s="506"/>
      <c r="C551" s="580"/>
      <c r="D551" s="666"/>
      <c r="E551" s="666"/>
      <c r="F551" s="667"/>
      <c r="G551" s="667"/>
      <c r="H551" s="667"/>
      <c r="I551" s="667"/>
      <c r="J551" s="667"/>
      <c r="K551" s="667"/>
      <c r="L551" s="695"/>
      <c r="M551" s="497"/>
      <c r="N551" s="696"/>
    </row>
    <row r="552" spans="1:14" ht="20">
      <c r="A552" s="665"/>
      <c r="B552" s="576" t="s">
        <v>314</v>
      </c>
      <c r="C552" s="575"/>
      <c r="D552" s="576"/>
      <c r="E552" s="576"/>
      <c r="F552" s="576"/>
      <c r="G552" s="576"/>
      <c r="H552" s="576"/>
      <c r="I552" s="576"/>
      <c r="J552" s="576"/>
      <c r="K552" s="509"/>
      <c r="L552" s="743">
        <f>L389*12/100000</f>
        <v>3.84</v>
      </c>
      <c r="M552" s="19"/>
      <c r="N552" s="653"/>
    </row>
    <row r="553" spans="1:14" s="335" customFormat="1" ht="8.25" customHeight="1">
      <c r="A553" s="391"/>
      <c r="B553" s="506"/>
      <c r="C553" s="580"/>
      <c r="D553" s="666"/>
      <c r="E553" s="666"/>
      <c r="F553" s="667"/>
      <c r="G553" s="667"/>
      <c r="H553" s="667"/>
      <c r="I553" s="667"/>
      <c r="J553" s="667"/>
      <c r="K553" s="667"/>
      <c r="L553" s="695"/>
      <c r="M553" s="497"/>
      <c r="N553" s="696"/>
    </row>
    <row r="554" spans="1:14" ht="20">
      <c r="A554" s="665"/>
      <c r="B554" s="576" t="s">
        <v>315</v>
      </c>
      <c r="C554" s="575"/>
      <c r="D554" s="576"/>
      <c r="E554" s="576"/>
      <c r="F554" s="576"/>
      <c r="G554" s="576"/>
      <c r="H554" s="576"/>
      <c r="I554" s="576"/>
      <c r="J554" s="576"/>
      <c r="K554" s="509"/>
      <c r="L554" s="743">
        <f>L401*12/100000</f>
        <v>1.2E-2</v>
      </c>
      <c r="M554" s="118"/>
      <c r="N554" s="653"/>
    </row>
    <row r="555" spans="1:14" s="335" customFormat="1" ht="8.25" customHeight="1">
      <c r="A555" s="391"/>
      <c r="B555" s="506"/>
      <c r="C555" s="580"/>
      <c r="D555" s="666"/>
      <c r="E555" s="666"/>
      <c r="F555" s="667"/>
      <c r="G555" s="667"/>
      <c r="H555" s="667"/>
      <c r="I555" s="667"/>
      <c r="J555" s="667"/>
      <c r="K555" s="667"/>
      <c r="L555" s="695"/>
      <c r="M555" s="497"/>
      <c r="N555" s="696"/>
    </row>
    <row r="556" spans="1:14" ht="20">
      <c r="A556" s="665"/>
      <c r="B556" s="576" t="s">
        <v>316</v>
      </c>
      <c r="C556" s="575"/>
      <c r="D556" s="576"/>
      <c r="E556" s="576"/>
      <c r="F556" s="576"/>
      <c r="G556" s="576"/>
      <c r="H556" s="576"/>
      <c r="I556" s="576"/>
      <c r="J556" s="576"/>
      <c r="K556" s="509"/>
      <c r="L556" s="743">
        <f>L397*12/100000</f>
        <v>4.8000000000000001E-2</v>
      </c>
      <c r="M556" s="19"/>
      <c r="N556" s="653"/>
    </row>
    <row r="557" spans="1:14" s="335" customFormat="1" ht="8.25" customHeight="1">
      <c r="A557" s="391"/>
      <c r="B557" s="506"/>
      <c r="C557" s="580"/>
      <c r="D557" s="666"/>
      <c r="E557" s="666"/>
      <c r="F557" s="667"/>
      <c r="G557" s="667"/>
      <c r="H557" s="667"/>
      <c r="I557" s="667"/>
      <c r="J557" s="667"/>
      <c r="K557" s="667"/>
      <c r="L557" s="695"/>
      <c r="M557" s="497"/>
      <c r="N557" s="696"/>
    </row>
    <row r="558" spans="1:14" ht="20">
      <c r="A558" s="665"/>
      <c r="B558" s="576" t="s">
        <v>317</v>
      </c>
      <c r="C558" s="575"/>
      <c r="D558" s="576"/>
      <c r="E558" s="576"/>
      <c r="F558" s="576"/>
      <c r="G558" s="576"/>
      <c r="H558" s="576"/>
      <c r="I558" s="576"/>
      <c r="J558" s="576"/>
      <c r="K558" s="509"/>
      <c r="L558" s="743">
        <f>L413*12/100000</f>
        <v>1.9368000000000001</v>
      </c>
      <c r="M558" s="19"/>
      <c r="N558" s="653"/>
    </row>
    <row r="559" spans="1:14" s="335" customFormat="1" ht="8.25" customHeight="1">
      <c r="A559" s="391"/>
      <c r="B559" s="506"/>
      <c r="C559" s="580"/>
      <c r="D559" s="666"/>
      <c r="E559" s="666"/>
      <c r="F559" s="667"/>
      <c r="G559" s="667"/>
      <c r="H559" s="667"/>
      <c r="I559" s="667"/>
      <c r="J559" s="667"/>
      <c r="K559" s="667"/>
      <c r="L559" s="695"/>
      <c r="M559" s="497"/>
      <c r="N559" s="696"/>
    </row>
    <row r="560" spans="1:14" ht="20">
      <c r="A560" s="665"/>
      <c r="B560" s="576" t="s">
        <v>318</v>
      </c>
      <c r="C560" s="575"/>
      <c r="D560" s="576"/>
      <c r="E560" s="576"/>
      <c r="F560" s="576"/>
      <c r="G560" s="576"/>
      <c r="H560" s="576"/>
      <c r="I560" s="576"/>
      <c r="J560" s="576"/>
      <c r="K560" s="509"/>
      <c r="L560" s="743">
        <f>L415*12/100000</f>
        <v>1.9368000000000003E-2</v>
      </c>
      <c r="M560" s="19"/>
      <c r="N560" s="653"/>
    </row>
    <row r="561" spans="1:14" s="335" customFormat="1" ht="8.25" customHeight="1">
      <c r="A561" s="391"/>
      <c r="B561" s="506"/>
      <c r="C561" s="580"/>
      <c r="D561" s="666"/>
      <c r="E561" s="666"/>
      <c r="F561" s="667"/>
      <c r="G561" s="667"/>
      <c r="H561" s="667"/>
      <c r="I561" s="667"/>
      <c r="J561" s="667"/>
      <c r="K561" s="667"/>
      <c r="L561" s="695"/>
      <c r="M561" s="497"/>
      <c r="N561" s="696"/>
    </row>
    <row r="562" spans="1:14" ht="20">
      <c r="A562" s="665"/>
      <c r="B562" s="576" t="s">
        <v>319</v>
      </c>
      <c r="C562" s="575"/>
      <c r="D562" s="576"/>
      <c r="E562" s="576"/>
      <c r="F562" s="576"/>
      <c r="G562" s="576"/>
      <c r="H562" s="576"/>
      <c r="I562" s="576"/>
      <c r="J562" s="576"/>
      <c r="K562" s="509"/>
      <c r="L562" s="743">
        <f>J486/100000</f>
        <v>0.6</v>
      </c>
      <c r="M562" s="118"/>
      <c r="N562" s="653"/>
    </row>
    <row r="563" spans="1:14" s="335" customFormat="1" ht="8.25" customHeight="1">
      <c r="A563" s="391"/>
      <c r="B563" s="506"/>
      <c r="C563" s="580"/>
      <c r="D563" s="666"/>
      <c r="E563" s="666"/>
      <c r="F563" s="667"/>
      <c r="G563" s="667"/>
      <c r="H563" s="667"/>
      <c r="I563" s="667"/>
      <c r="J563" s="667"/>
      <c r="K563" s="667"/>
      <c r="L563" s="695"/>
      <c r="M563" s="497"/>
      <c r="N563" s="696"/>
    </row>
    <row r="564" spans="1:14" ht="20">
      <c r="A564" s="391"/>
      <c r="B564" s="509"/>
      <c r="C564" s="508"/>
      <c r="D564" s="509"/>
      <c r="E564" s="509"/>
      <c r="F564" s="509"/>
      <c r="G564" s="509"/>
      <c r="H564" s="509"/>
      <c r="I564" s="509"/>
      <c r="J564" s="491" t="s">
        <v>263</v>
      </c>
      <c r="K564" s="509"/>
      <c r="L564" s="739">
        <f>SUM(L550:L562)</f>
        <v>12.049367999999999</v>
      </c>
      <c r="M564" s="19"/>
      <c r="N564" s="653"/>
    </row>
    <row r="565" spans="1:14" ht="15.5">
      <c r="A565" s="391"/>
      <c r="B565" s="19"/>
      <c r="C565" s="496"/>
      <c r="D565" s="19"/>
      <c r="E565" s="497"/>
      <c r="F565" s="19"/>
      <c r="G565" s="497"/>
      <c r="H565" s="19"/>
      <c r="I565" s="497"/>
      <c r="J565" s="19"/>
      <c r="K565" s="497"/>
      <c r="L565" s="738"/>
      <c r="M565" s="19"/>
      <c r="N565" s="653"/>
    </row>
    <row r="566" spans="1:14" ht="15.5">
      <c r="A566" s="391"/>
      <c r="B566" s="19"/>
      <c r="C566" s="496"/>
      <c r="D566" s="19"/>
      <c r="E566" s="497"/>
      <c r="F566" s="19"/>
      <c r="G566" s="497"/>
      <c r="H566" s="19"/>
      <c r="I566" s="497"/>
      <c r="J566" s="19"/>
      <c r="K566" s="497"/>
      <c r="L566" s="738"/>
      <c r="M566" s="19"/>
      <c r="N566" s="653"/>
    </row>
    <row r="567" spans="1:14" ht="15.5">
      <c r="A567" s="391"/>
      <c r="B567" s="19"/>
      <c r="C567" s="496"/>
      <c r="D567" s="19"/>
      <c r="E567" s="497"/>
      <c r="F567" s="19"/>
      <c r="G567" s="497"/>
      <c r="H567" s="19"/>
      <c r="I567" s="497"/>
      <c r="J567" s="19"/>
      <c r="K567" s="497"/>
      <c r="L567" s="738"/>
      <c r="M567" s="19"/>
      <c r="N567" s="653"/>
    </row>
    <row r="568" spans="1:14" ht="20">
      <c r="A568" s="665"/>
      <c r="B568" s="491" t="s">
        <v>320</v>
      </c>
      <c r="C568" s="508"/>
      <c r="D568" s="509"/>
      <c r="E568" s="509"/>
      <c r="F568" s="509"/>
      <c r="G568" s="509"/>
      <c r="H568" s="509"/>
      <c r="I568" s="509"/>
      <c r="J568" s="509"/>
      <c r="K568" s="509"/>
      <c r="L568" s="740"/>
      <c r="M568" s="19"/>
      <c r="N568" s="653"/>
    </row>
    <row r="569" spans="1:14" s="335" customFormat="1" ht="8.25" customHeight="1">
      <c r="A569" s="391"/>
      <c r="B569" s="506"/>
      <c r="C569" s="580"/>
      <c r="D569" s="666"/>
      <c r="E569" s="666"/>
      <c r="F569" s="667"/>
      <c r="G569" s="667"/>
      <c r="H569" s="667"/>
      <c r="I569" s="667"/>
      <c r="J569" s="667"/>
      <c r="K569" s="744"/>
      <c r="L569" s="695"/>
      <c r="M569" s="497"/>
      <c r="N569" s="696"/>
    </row>
    <row r="570" spans="1:14" ht="20">
      <c r="A570" s="665"/>
      <c r="B570" s="576" t="s">
        <v>321</v>
      </c>
      <c r="C570" s="575"/>
      <c r="D570" s="576"/>
      <c r="E570" s="576"/>
      <c r="F570" s="576"/>
      <c r="G570" s="576"/>
      <c r="H570" s="576"/>
      <c r="I570" s="576"/>
      <c r="J570" s="576"/>
      <c r="K570" s="508"/>
      <c r="L570" s="745">
        <f>L395*12/100000</f>
        <v>0.108</v>
      </c>
      <c r="M570" s="19"/>
      <c r="N570" s="653"/>
    </row>
    <row r="571" spans="1:14" s="335" customFormat="1" ht="8.25" customHeight="1">
      <c r="A571" s="391"/>
      <c r="B571" s="506"/>
      <c r="C571" s="580"/>
      <c r="D571" s="666"/>
      <c r="E571" s="666"/>
      <c r="F571" s="667"/>
      <c r="G571" s="667"/>
      <c r="H571" s="667"/>
      <c r="I571" s="667"/>
      <c r="J571" s="667"/>
      <c r="K571" s="744"/>
      <c r="L571" s="695"/>
      <c r="M571" s="497"/>
      <c r="N571" s="696"/>
    </row>
    <row r="572" spans="1:14" ht="20">
      <c r="A572" s="665"/>
      <c r="B572" s="576" t="s">
        <v>322</v>
      </c>
      <c r="C572" s="575"/>
      <c r="D572" s="576"/>
      <c r="E572" s="576"/>
      <c r="F572" s="576"/>
      <c r="G572" s="576"/>
      <c r="H572" s="576"/>
      <c r="I572" s="576"/>
      <c r="J572" s="576"/>
      <c r="K572" s="508"/>
      <c r="L572" s="745">
        <f>L403*12/100000</f>
        <v>0.06</v>
      </c>
      <c r="M572" s="19"/>
      <c r="N572" s="653"/>
    </row>
    <row r="573" spans="1:14" s="335" customFormat="1" ht="8.25" customHeight="1">
      <c r="A573" s="391"/>
      <c r="B573" s="506"/>
      <c r="C573" s="580"/>
      <c r="D573" s="666"/>
      <c r="E573" s="666"/>
      <c r="F573" s="667"/>
      <c r="G573" s="667"/>
      <c r="H573" s="667"/>
      <c r="I573" s="667"/>
      <c r="J573" s="667"/>
      <c r="K573" s="744"/>
      <c r="L573" s="695"/>
      <c r="M573" s="497"/>
      <c r="N573" s="696"/>
    </row>
    <row r="574" spans="1:14" ht="20">
      <c r="A574" s="665"/>
      <c r="B574" s="576" t="s">
        <v>323</v>
      </c>
      <c r="C574" s="575"/>
      <c r="D574" s="576"/>
      <c r="E574" s="576"/>
      <c r="F574" s="576"/>
      <c r="G574" s="576"/>
      <c r="H574" s="576"/>
      <c r="I574" s="576"/>
      <c r="J574" s="576"/>
      <c r="K574" s="508"/>
      <c r="L574" s="745">
        <f>L405*12/100000</f>
        <v>7.1999999999999995E-2</v>
      </c>
      <c r="M574" s="19"/>
      <c r="N574" s="653"/>
    </row>
    <row r="575" spans="1:14" s="335" customFormat="1" ht="8.25" customHeight="1">
      <c r="A575" s="391"/>
      <c r="B575" s="506"/>
      <c r="C575" s="580"/>
      <c r="D575" s="666"/>
      <c r="E575" s="666"/>
      <c r="F575" s="667"/>
      <c r="G575" s="667"/>
      <c r="H575" s="667"/>
      <c r="I575" s="667"/>
      <c r="J575" s="667"/>
      <c r="K575" s="744"/>
      <c r="L575" s="695"/>
      <c r="M575" s="497"/>
      <c r="N575" s="696"/>
    </row>
    <row r="576" spans="1:14" ht="20">
      <c r="A576" s="665"/>
      <c r="B576" s="576" t="s">
        <v>324</v>
      </c>
      <c r="C576" s="575"/>
      <c r="D576" s="576"/>
      <c r="E576" s="576"/>
      <c r="F576" s="576"/>
      <c r="G576" s="576"/>
      <c r="H576" s="576"/>
      <c r="I576" s="576"/>
      <c r="J576" s="576"/>
      <c r="K576" s="508"/>
      <c r="L576" s="745">
        <f>L407*12/100000</f>
        <v>0.12</v>
      </c>
      <c r="M576" s="19"/>
      <c r="N576" s="653"/>
    </row>
    <row r="577" spans="1:14" s="335" customFormat="1" ht="8.25" customHeight="1">
      <c r="A577" s="391"/>
      <c r="B577" s="506"/>
      <c r="C577" s="580"/>
      <c r="D577" s="666"/>
      <c r="E577" s="666"/>
      <c r="F577" s="667"/>
      <c r="G577" s="667"/>
      <c r="H577" s="667"/>
      <c r="I577" s="667"/>
      <c r="J577" s="667"/>
      <c r="K577" s="744"/>
      <c r="L577" s="695"/>
      <c r="M577" s="497"/>
      <c r="N577" s="696"/>
    </row>
    <row r="578" spans="1:14" ht="20">
      <c r="A578" s="665"/>
      <c r="B578" s="576" t="s">
        <v>325</v>
      </c>
      <c r="C578" s="575"/>
      <c r="D578" s="576"/>
      <c r="E578" s="576"/>
      <c r="F578" s="576"/>
      <c r="G578" s="576"/>
      <c r="H578" s="576"/>
      <c r="I578" s="576"/>
      <c r="J578" s="576"/>
      <c r="K578" s="508"/>
      <c r="L578" s="745">
        <f>L399*12/100000</f>
        <v>1.2E-2</v>
      </c>
      <c r="M578" s="19"/>
      <c r="N578" s="653"/>
    </row>
    <row r="579" spans="1:14" s="335" customFormat="1" ht="8.25" customHeight="1">
      <c r="A579" s="391"/>
      <c r="B579" s="506"/>
      <c r="C579" s="580"/>
      <c r="D579" s="666"/>
      <c r="E579" s="666"/>
      <c r="F579" s="667"/>
      <c r="G579" s="667"/>
      <c r="H579" s="667"/>
      <c r="I579" s="667"/>
      <c r="J579" s="667"/>
      <c r="K579" s="744"/>
      <c r="L579" s="695"/>
      <c r="M579" s="497"/>
      <c r="N579" s="696"/>
    </row>
    <row r="580" spans="1:14" ht="20">
      <c r="A580" s="665"/>
      <c r="B580" s="576" t="s">
        <v>326</v>
      </c>
      <c r="C580" s="575"/>
      <c r="D580" s="576"/>
      <c r="E580" s="576"/>
      <c r="F580" s="576"/>
      <c r="G580" s="576"/>
      <c r="H580" s="576"/>
      <c r="I580" s="576"/>
      <c r="J580" s="576"/>
      <c r="K580" s="508"/>
      <c r="L580" s="745">
        <f>L409*12/100000</f>
        <v>0.66753750000000001</v>
      </c>
      <c r="M580" s="19"/>
      <c r="N580" s="653"/>
    </row>
    <row r="581" spans="1:14" s="335" customFormat="1" ht="8.25" customHeight="1">
      <c r="A581" s="391"/>
      <c r="B581" s="506"/>
      <c r="C581" s="580"/>
      <c r="D581" s="666"/>
      <c r="E581" s="666"/>
      <c r="F581" s="667"/>
      <c r="G581" s="667"/>
      <c r="H581" s="667"/>
      <c r="I581" s="667"/>
      <c r="J581" s="667"/>
      <c r="K581" s="744"/>
      <c r="L581" s="695"/>
      <c r="M581" s="497"/>
      <c r="N581" s="696"/>
    </row>
    <row r="582" spans="1:14" ht="20">
      <c r="A582" s="665"/>
      <c r="B582" s="576" t="s">
        <v>327</v>
      </c>
      <c r="C582" s="575"/>
      <c r="D582" s="576"/>
      <c r="E582" s="576"/>
      <c r="F582" s="576"/>
      <c r="G582" s="576"/>
      <c r="H582" s="576"/>
      <c r="I582" s="576"/>
      <c r="J582" s="576"/>
      <c r="K582" s="508"/>
      <c r="L582" s="745">
        <f>L419*12/100000</f>
        <v>0.66</v>
      </c>
      <c r="M582" s="19"/>
      <c r="N582" s="653"/>
    </row>
    <row r="583" spans="1:14" s="335" customFormat="1" ht="8.25" customHeight="1">
      <c r="A583" s="391"/>
      <c r="B583" s="506"/>
      <c r="C583" s="580"/>
      <c r="D583" s="666"/>
      <c r="E583" s="666"/>
      <c r="F583" s="667"/>
      <c r="G583" s="667"/>
      <c r="H583" s="667"/>
      <c r="I583" s="667"/>
      <c r="J583" s="667"/>
      <c r="K583" s="744"/>
      <c r="L583" s="695"/>
      <c r="M583" s="497"/>
      <c r="N583" s="696"/>
    </row>
    <row r="584" spans="1:14" ht="20">
      <c r="A584" s="665"/>
      <c r="B584" s="576" t="s">
        <v>328</v>
      </c>
      <c r="C584" s="575"/>
      <c r="D584" s="576"/>
      <c r="E584" s="576"/>
      <c r="F584" s="576"/>
      <c r="G584" s="576"/>
      <c r="H584" s="576"/>
      <c r="I584" s="576"/>
      <c r="J584" s="576"/>
      <c r="K584" s="508"/>
      <c r="L584" s="745">
        <f>L417*12/100000</f>
        <v>0.06</v>
      </c>
      <c r="M584" s="19"/>
      <c r="N584" s="653"/>
    </row>
    <row r="585" spans="1:14" s="335" customFormat="1" ht="8.25" customHeight="1">
      <c r="A585" s="391"/>
      <c r="B585" s="506"/>
      <c r="C585" s="580"/>
      <c r="D585" s="666"/>
      <c r="E585" s="666"/>
      <c r="F585" s="667"/>
      <c r="G585" s="667"/>
      <c r="H585" s="667"/>
      <c r="I585" s="667"/>
      <c r="J585" s="667"/>
      <c r="K585" s="744"/>
      <c r="L585" s="695"/>
      <c r="M585" s="497"/>
      <c r="N585" s="696"/>
    </row>
    <row r="586" spans="1:14" ht="20">
      <c r="A586" s="665"/>
      <c r="B586" s="576" t="s">
        <v>329</v>
      </c>
      <c r="C586" s="575"/>
      <c r="D586" s="576"/>
      <c r="E586" s="576"/>
      <c r="F586" s="576"/>
      <c r="G586" s="576"/>
      <c r="H586" s="576"/>
      <c r="I586" s="576"/>
      <c r="J586" s="576"/>
      <c r="K586" s="508"/>
      <c r="L586" s="745">
        <f>L411*12/100000</f>
        <v>0.78100000000000003</v>
      </c>
      <c r="M586" s="19"/>
      <c r="N586" s="653"/>
    </row>
    <row r="587" spans="1:14" s="335" customFormat="1" ht="8.25" customHeight="1">
      <c r="A587" s="391"/>
      <c r="B587" s="506"/>
      <c r="C587" s="580"/>
      <c r="D587" s="666"/>
      <c r="E587" s="666"/>
      <c r="F587" s="667"/>
      <c r="G587" s="667"/>
      <c r="H587" s="667"/>
      <c r="I587" s="667"/>
      <c r="J587" s="667"/>
      <c r="K587" s="744"/>
      <c r="L587" s="695"/>
      <c r="M587" s="497"/>
      <c r="N587" s="696"/>
    </row>
    <row r="588" spans="1:14" ht="20">
      <c r="A588" s="665"/>
      <c r="B588" s="746"/>
      <c r="C588" s="508"/>
      <c r="D588" s="509"/>
      <c r="E588" s="509"/>
      <c r="F588" s="509"/>
      <c r="G588" s="509"/>
      <c r="H588" s="509"/>
      <c r="I588" s="509"/>
      <c r="J588" s="491" t="s">
        <v>263</v>
      </c>
      <c r="K588" s="509"/>
      <c r="L588" s="739">
        <f>SUM(L570:L586)</f>
        <v>2.5405375000000001</v>
      </c>
      <c r="M588" s="19"/>
      <c r="N588" s="653"/>
    </row>
    <row r="589" spans="1:14" s="335" customFormat="1" ht="8.25" customHeight="1">
      <c r="A589" s="391"/>
      <c r="B589" s="506"/>
      <c r="C589" s="580"/>
      <c r="D589" s="666"/>
      <c r="E589" s="666"/>
      <c r="F589" s="667"/>
      <c r="G589" s="667"/>
      <c r="H589" s="667"/>
      <c r="I589" s="667"/>
      <c r="J589" s="667"/>
      <c r="K589" s="744"/>
      <c r="L589" s="695"/>
      <c r="M589" s="497"/>
      <c r="N589" s="696"/>
    </row>
    <row r="590" spans="1:14" ht="20">
      <c r="A590" s="665"/>
      <c r="B590" s="576" t="s">
        <v>330</v>
      </c>
      <c r="C590" s="575"/>
      <c r="D590" s="576"/>
      <c r="E590" s="576"/>
      <c r="F590" s="576"/>
      <c r="G590" s="576"/>
      <c r="H590" s="576"/>
      <c r="I590" s="576"/>
      <c r="J590" s="576"/>
      <c r="K590" s="509"/>
      <c r="L590" s="743">
        <f>L564+L588</f>
        <v>14.5899055</v>
      </c>
      <c r="M590" s="19"/>
      <c r="N590" s="653"/>
    </row>
    <row r="591" spans="1:14" s="335" customFormat="1" ht="8.25" customHeight="1">
      <c r="A591" s="391"/>
      <c r="B591" s="506"/>
      <c r="C591" s="580"/>
      <c r="D591" s="666"/>
      <c r="E591" s="666"/>
      <c r="F591" s="667"/>
      <c r="G591" s="667"/>
      <c r="H591" s="667"/>
      <c r="I591" s="667"/>
      <c r="J591" s="667"/>
      <c r="K591" s="744"/>
      <c r="L591" s="695"/>
      <c r="M591" s="497"/>
      <c r="N591" s="696"/>
    </row>
    <row r="592" spans="1:14" ht="20">
      <c r="A592" s="665"/>
      <c r="B592" s="576" t="s">
        <v>331</v>
      </c>
      <c r="C592" s="575"/>
      <c r="D592" s="576"/>
      <c r="E592" s="576"/>
      <c r="F592" s="576"/>
      <c r="G592" s="576"/>
      <c r="H592" s="576"/>
      <c r="I592" s="576"/>
      <c r="J592" s="576"/>
      <c r="K592" s="509"/>
      <c r="L592" s="743">
        <f>L546-L590</f>
        <v>3.7000944999999987</v>
      </c>
      <c r="M592" s="19"/>
      <c r="N592" s="653"/>
    </row>
    <row r="593" spans="1:14" s="335" customFormat="1" ht="8.25" customHeight="1">
      <c r="A593" s="391"/>
      <c r="B593" s="506"/>
      <c r="C593" s="580"/>
      <c r="D593" s="666"/>
      <c r="E593" s="666"/>
      <c r="F593" s="667"/>
      <c r="G593" s="667"/>
      <c r="H593" s="667"/>
      <c r="I593" s="667"/>
      <c r="J593" s="667"/>
      <c r="K593" s="744"/>
      <c r="L593" s="695"/>
      <c r="M593" s="497"/>
      <c r="N593" s="696"/>
    </row>
    <row r="594" spans="1:14" ht="20">
      <c r="A594" s="665"/>
      <c r="B594" s="747" t="s">
        <v>332</v>
      </c>
      <c r="C594" s="747"/>
      <c r="D594" s="576" t="s">
        <v>333</v>
      </c>
      <c r="E594" s="576"/>
      <c r="F594" s="576"/>
      <c r="G594" s="576"/>
      <c r="H594" s="576"/>
      <c r="I594" s="576"/>
      <c r="J594" s="576"/>
      <c r="K594" s="509"/>
      <c r="L594" s="743">
        <f>L546-L564</f>
        <v>6.2406319999999997</v>
      </c>
      <c r="M594" s="19"/>
      <c r="N594" s="653"/>
    </row>
    <row r="595" spans="1:14" s="335" customFormat="1" ht="8.25" customHeight="1">
      <c r="A595" s="391"/>
      <c r="B595" s="506"/>
      <c r="C595" s="580"/>
      <c r="D595" s="666"/>
      <c r="E595" s="666"/>
      <c r="F595" s="667"/>
      <c r="G595" s="667"/>
      <c r="H595" s="667"/>
      <c r="I595" s="667"/>
      <c r="J595" s="667"/>
      <c r="K595" s="744"/>
      <c r="L595" s="695"/>
      <c r="M595" s="497"/>
      <c r="N595" s="696"/>
    </row>
    <row r="596" spans="1:14" ht="20">
      <c r="A596" s="665"/>
      <c r="B596" s="576" t="s">
        <v>334</v>
      </c>
      <c r="C596" s="575"/>
      <c r="D596" s="576"/>
      <c r="E596" s="576"/>
      <c r="F596" s="576"/>
      <c r="G596" s="576"/>
      <c r="H596" s="576"/>
      <c r="I596" s="576"/>
      <c r="J596" s="576"/>
      <c r="K596" s="509"/>
      <c r="L596" s="743">
        <f>L588*100/L594</f>
        <v>40.709618833477123</v>
      </c>
      <c r="M596" s="19"/>
      <c r="N596" s="653"/>
    </row>
    <row r="597" spans="1:14" s="335" customFormat="1" ht="8.25" customHeight="1">
      <c r="A597" s="391"/>
      <c r="B597" s="506"/>
      <c r="C597" s="580"/>
      <c r="D597" s="666"/>
      <c r="E597" s="666"/>
      <c r="F597" s="667"/>
      <c r="G597" s="667"/>
      <c r="H597" s="667"/>
      <c r="I597" s="667"/>
      <c r="J597" s="667"/>
      <c r="K597" s="744"/>
      <c r="L597" s="695"/>
      <c r="M597" s="497"/>
      <c r="N597" s="696"/>
    </row>
    <row r="598" spans="1:14" ht="20">
      <c r="A598" s="391"/>
      <c r="B598" s="576" t="s">
        <v>335</v>
      </c>
      <c r="C598" s="575"/>
      <c r="D598" s="576"/>
      <c r="E598" s="576"/>
      <c r="F598" s="576"/>
      <c r="G598" s="576"/>
      <c r="H598" s="576"/>
      <c r="I598" s="576"/>
      <c r="J598" s="576"/>
      <c r="K598" s="509"/>
      <c r="L598" s="743">
        <f>L588*L546/L594</f>
        <v>7.4457892846429656</v>
      </c>
      <c r="M598" s="19"/>
      <c r="N598" s="653"/>
    </row>
    <row r="599" spans="1:14" ht="20" hidden="1">
      <c r="A599" s="391"/>
      <c r="B599" s="507"/>
      <c r="C599" s="508"/>
      <c r="D599" s="507"/>
      <c r="E599" s="509"/>
      <c r="F599" s="507"/>
      <c r="G599" s="509"/>
      <c r="H599" s="507"/>
      <c r="I599" s="509"/>
      <c r="J599" s="507"/>
      <c r="K599" s="509"/>
      <c r="L599" s="742"/>
      <c r="M599" s="19"/>
      <c r="N599" s="653"/>
    </row>
    <row r="600" spans="1:14" ht="9.75" hidden="1" customHeight="1">
      <c r="A600" s="391"/>
      <c r="B600" s="19"/>
      <c r="C600" s="496"/>
      <c r="D600" s="19"/>
      <c r="E600" s="497"/>
      <c r="F600" s="19"/>
      <c r="G600" s="497"/>
      <c r="H600" s="19"/>
      <c r="I600" s="497"/>
      <c r="J600" s="19"/>
      <c r="K600" s="497"/>
      <c r="L600" s="738"/>
      <c r="M600" s="19"/>
      <c r="N600" s="653"/>
    </row>
    <row r="601" spans="1:14" ht="9" hidden="1" customHeight="1">
      <c r="A601" s="391"/>
      <c r="B601" s="19"/>
      <c r="C601" s="496"/>
      <c r="D601" s="19"/>
      <c r="E601" s="497"/>
      <c r="F601" s="19"/>
      <c r="G601" s="497"/>
      <c r="H601" s="19"/>
      <c r="I601" s="497"/>
      <c r="J601" s="19"/>
      <c r="K601" s="497"/>
      <c r="L601" s="738"/>
      <c r="M601" s="19"/>
      <c r="N601" s="653"/>
    </row>
    <row r="602" spans="1:14" ht="9" hidden="1" customHeight="1">
      <c r="A602" s="391"/>
      <c r="B602" s="19"/>
      <c r="C602" s="496"/>
      <c r="D602" s="19"/>
      <c r="E602" s="497"/>
      <c r="F602" s="19"/>
      <c r="G602" s="497"/>
      <c r="H602" s="19"/>
      <c r="I602" s="497"/>
      <c r="J602" s="19"/>
      <c r="K602" s="497"/>
      <c r="L602" s="738"/>
      <c r="M602" s="19"/>
      <c r="N602" s="653"/>
    </row>
    <row r="603" spans="1:14" ht="9" customHeight="1">
      <c r="A603" s="391"/>
      <c r="B603" s="19"/>
      <c r="C603" s="496"/>
      <c r="D603" s="19"/>
      <c r="E603" s="497"/>
      <c r="F603" s="19"/>
      <c r="G603" s="497"/>
      <c r="H603" s="19"/>
      <c r="I603" s="497"/>
      <c r="J603" s="19"/>
      <c r="K603" s="497"/>
      <c r="L603" s="738"/>
      <c r="M603" s="19"/>
      <c r="N603" s="653"/>
    </row>
    <row r="604" spans="1:14" ht="9" customHeight="1">
      <c r="A604" s="391"/>
      <c r="B604" s="19"/>
      <c r="C604" s="496"/>
      <c r="D604" s="19"/>
      <c r="E604" s="497"/>
      <c r="F604" s="19"/>
      <c r="G604" s="497"/>
      <c r="H604" s="19"/>
      <c r="I604" s="497"/>
      <c r="J604" s="19"/>
      <c r="K604" s="497"/>
      <c r="L604" s="738"/>
      <c r="M604" s="19"/>
      <c r="N604" s="653"/>
    </row>
    <row r="605" spans="1:14" ht="9" customHeight="1">
      <c r="A605" s="391"/>
      <c r="B605" s="19"/>
      <c r="C605" s="496"/>
      <c r="D605" s="19"/>
      <c r="E605" s="497"/>
      <c r="F605" s="19"/>
      <c r="G605" s="497"/>
      <c r="H605" s="19"/>
      <c r="I605" s="497"/>
      <c r="J605" s="19"/>
      <c r="K605" s="497"/>
      <c r="L605" s="738"/>
      <c r="M605" s="19"/>
      <c r="N605" s="653"/>
    </row>
    <row r="606" spans="1:14" ht="9" customHeight="1">
      <c r="A606" s="391"/>
      <c r="B606" s="19"/>
      <c r="C606" s="496"/>
      <c r="D606" s="19"/>
      <c r="E606" s="497"/>
      <c r="F606" s="19"/>
      <c r="G606" s="497"/>
      <c r="H606" s="19"/>
      <c r="I606" s="497"/>
      <c r="J606" s="19"/>
      <c r="K606" s="497"/>
      <c r="L606" s="738"/>
      <c r="M606" s="19"/>
      <c r="N606" s="653"/>
    </row>
    <row r="607" spans="1:14" ht="15.5">
      <c r="A607" s="391"/>
      <c r="B607" s="19"/>
      <c r="C607" s="496"/>
      <c r="D607" s="19"/>
      <c r="E607" s="497"/>
      <c r="F607" s="19"/>
      <c r="G607" s="497"/>
      <c r="H607" s="19"/>
      <c r="I607" s="497"/>
      <c r="J607" s="19"/>
      <c r="K607" s="497"/>
      <c r="L607" s="738"/>
      <c r="M607" s="19"/>
      <c r="N607" s="653"/>
    </row>
    <row r="608" spans="1:14" ht="4.5" customHeight="1">
      <c r="A608" s="391"/>
      <c r="B608" s="19"/>
      <c r="C608" s="496"/>
      <c r="D608" s="19"/>
      <c r="E608" s="497"/>
      <c r="F608" s="19"/>
      <c r="G608" s="497"/>
      <c r="H608" s="19"/>
      <c r="I608" s="497"/>
      <c r="J608" s="19"/>
      <c r="K608" s="497"/>
      <c r="L608" s="738"/>
      <c r="M608" s="19"/>
      <c r="N608" s="653"/>
    </row>
    <row r="609" spans="1:16" ht="15.5" hidden="1">
      <c r="A609" s="391"/>
      <c r="B609" s="19"/>
      <c r="C609" s="496"/>
      <c r="D609" s="19"/>
      <c r="E609" s="497"/>
      <c r="F609" s="19"/>
      <c r="G609" s="497"/>
      <c r="H609" s="19"/>
      <c r="I609" s="497"/>
      <c r="J609" s="19"/>
      <c r="K609" s="497"/>
      <c r="L609" s="738"/>
      <c r="M609" s="19"/>
      <c r="N609" s="653"/>
    </row>
    <row r="610" spans="1:16" ht="15.5">
      <c r="A610" s="391"/>
      <c r="B610" s="19"/>
      <c r="C610" s="496"/>
      <c r="D610" s="19"/>
      <c r="E610" s="497"/>
      <c r="F610" s="19"/>
      <c r="G610" s="497"/>
      <c r="H610" s="19"/>
      <c r="I610" s="497"/>
      <c r="J610" s="19"/>
      <c r="K610" s="497"/>
      <c r="L610" s="738"/>
      <c r="M610" s="19"/>
      <c r="N610" s="653"/>
    </row>
    <row r="611" spans="1:16" ht="15.5">
      <c r="A611" s="382"/>
      <c r="B611" s="584"/>
      <c r="C611" s="585"/>
      <c r="D611" s="584"/>
      <c r="E611" s="586"/>
      <c r="F611" s="584"/>
      <c r="G611" s="586"/>
      <c r="H611" s="584"/>
      <c r="I611" s="586"/>
      <c r="J611" s="584"/>
      <c r="K611" s="586"/>
      <c r="L611" s="760"/>
      <c r="M611" s="19"/>
      <c r="N611" s="653"/>
    </row>
    <row r="612" spans="1:16" ht="15.5">
      <c r="B612" s="19"/>
      <c r="C612" s="496"/>
      <c r="D612" s="19"/>
      <c r="E612" s="497"/>
      <c r="F612" s="19"/>
      <c r="G612" s="497"/>
      <c r="H612" s="19"/>
      <c r="I612" s="497"/>
      <c r="J612" s="19"/>
      <c r="K612" s="497"/>
      <c r="L612" s="118"/>
      <c r="M612" s="19"/>
      <c r="N612" s="653"/>
    </row>
    <row r="613" spans="1:16" ht="15.5">
      <c r="A613" s="383"/>
      <c r="B613" s="584"/>
      <c r="C613" s="585"/>
      <c r="D613" s="584"/>
      <c r="E613" s="586"/>
      <c r="F613" s="584"/>
      <c r="G613" s="586"/>
      <c r="H613" s="584"/>
      <c r="I613" s="586"/>
      <c r="J613" s="584"/>
      <c r="K613" s="586"/>
      <c r="L613" s="761"/>
      <c r="M613" s="19"/>
      <c r="N613" s="653"/>
    </row>
    <row r="614" spans="1:16" ht="15.5">
      <c r="A614" s="391"/>
      <c r="B614" s="19"/>
      <c r="C614" s="496"/>
      <c r="D614" s="19"/>
      <c r="E614" s="497"/>
      <c r="F614" s="19"/>
      <c r="G614" s="497"/>
      <c r="H614" s="19"/>
      <c r="I614" s="497"/>
      <c r="J614" s="19"/>
      <c r="K614" s="497"/>
      <c r="L614" s="738"/>
      <c r="M614" s="19"/>
      <c r="N614" s="19"/>
      <c r="O614" s="497"/>
      <c r="P614" s="738"/>
    </row>
    <row r="615" spans="1:16" ht="15.5">
      <c r="A615" s="391"/>
      <c r="B615" s="19"/>
      <c r="C615" s="496"/>
      <c r="D615" s="19"/>
      <c r="E615" s="497"/>
      <c r="F615" s="19"/>
      <c r="G615" s="497"/>
      <c r="H615" s="19"/>
      <c r="I615" s="497"/>
      <c r="J615" s="19"/>
      <c r="K615" s="497"/>
      <c r="L615" s="738"/>
      <c r="M615" s="19"/>
      <c r="N615" s="19"/>
      <c r="O615" s="497"/>
      <c r="P615" s="738"/>
    </row>
    <row r="616" spans="1:16" ht="15.5">
      <c r="A616" s="391"/>
      <c r="B616" s="19"/>
      <c r="C616" s="496"/>
      <c r="D616" s="19"/>
      <c r="E616" s="497"/>
      <c r="F616" s="19"/>
      <c r="G616" s="497"/>
      <c r="H616" s="19"/>
      <c r="I616" s="497"/>
      <c r="J616" s="19"/>
      <c r="K616" s="497"/>
      <c r="L616" s="738"/>
      <c r="M616" s="19"/>
      <c r="N616" s="19"/>
      <c r="O616" s="497"/>
      <c r="P616" s="738"/>
    </row>
    <row r="617" spans="1:16" ht="15.5">
      <c r="A617" s="391"/>
      <c r="B617" s="19"/>
      <c r="C617" s="496"/>
      <c r="D617" s="19"/>
      <c r="E617" s="497"/>
      <c r="F617" s="19"/>
      <c r="G617" s="497"/>
      <c r="H617" s="19"/>
      <c r="I617" s="497"/>
      <c r="J617" s="19"/>
      <c r="K617" s="497"/>
      <c r="L617" s="738"/>
      <c r="M617" s="19"/>
      <c r="N617" s="19"/>
      <c r="O617" s="497"/>
      <c r="P617" s="738"/>
    </row>
    <row r="618" spans="1:16" ht="20">
      <c r="A618" s="665"/>
      <c r="B618" s="748" t="s">
        <v>336</v>
      </c>
      <c r="C618" s="749"/>
      <c r="D618" s="19"/>
      <c r="E618" s="497"/>
      <c r="F618" s="19"/>
      <c r="G618" s="497"/>
      <c r="H618" s="19"/>
      <c r="I618" s="497"/>
      <c r="J618" s="19"/>
      <c r="K618" s="497"/>
      <c r="L618" s="738"/>
      <c r="M618" s="19"/>
      <c r="N618" s="19"/>
      <c r="O618" s="497"/>
      <c r="P618" s="738"/>
    </row>
    <row r="619" spans="1:16" s="335" customFormat="1" ht="19.5" customHeight="1">
      <c r="A619" s="391"/>
      <c r="B619" s="506"/>
      <c r="C619" s="615"/>
      <c r="D619" s="666"/>
      <c r="E619" s="666"/>
      <c r="F619" s="667"/>
      <c r="G619" s="667"/>
      <c r="H619" s="667"/>
      <c r="I619" s="667"/>
      <c r="J619" s="667"/>
      <c r="K619" s="667"/>
      <c r="L619" s="695"/>
      <c r="M619" s="497"/>
      <c r="N619" s="667"/>
      <c r="O619" s="667"/>
      <c r="P619" s="695"/>
    </row>
    <row r="620" spans="1:16" ht="20">
      <c r="A620" s="665"/>
      <c r="B620" s="750"/>
      <c r="C620" s="751"/>
      <c r="D620" s="706" t="s">
        <v>337</v>
      </c>
      <c r="E620" s="752"/>
      <c r="F620" s="706" t="s">
        <v>338</v>
      </c>
      <c r="G620" s="752"/>
      <c r="H620" s="706" t="s">
        <v>339</v>
      </c>
      <c r="I620" s="752"/>
      <c r="J620" s="706" t="s">
        <v>340</v>
      </c>
      <c r="K620" s="752"/>
      <c r="L620" s="762" t="s">
        <v>341</v>
      </c>
      <c r="M620" s="19"/>
      <c r="N620" s="706" t="s">
        <v>342</v>
      </c>
      <c r="O620" s="752"/>
      <c r="P620" s="762" t="s">
        <v>343</v>
      </c>
    </row>
    <row r="621" spans="1:16" s="335" customFormat="1" ht="8.25" customHeight="1">
      <c r="A621" s="391"/>
      <c r="B621" s="506"/>
      <c r="C621" s="615"/>
      <c r="D621" s="744"/>
      <c r="E621" s="744"/>
      <c r="F621" s="744"/>
      <c r="G621" s="744"/>
      <c r="H621" s="744"/>
      <c r="I621" s="744"/>
      <c r="J621" s="744"/>
      <c r="K621" s="744"/>
      <c r="L621" s="763"/>
      <c r="M621" s="497"/>
      <c r="N621" s="744"/>
      <c r="O621" s="744"/>
      <c r="P621" s="763"/>
    </row>
    <row r="622" spans="1:16" ht="20">
      <c r="A622" s="391"/>
      <c r="B622" s="507"/>
      <c r="C622" s="508"/>
      <c r="D622" s="579">
        <f ca="1">YEAR(B847)+(1)</f>
        <v>2026</v>
      </c>
      <c r="E622" s="580"/>
      <c r="F622" s="579">
        <f ca="1">D622+1</f>
        <v>2027</v>
      </c>
      <c r="G622" s="580"/>
      <c r="H622" s="579">
        <f ca="1">F622+1</f>
        <v>2028</v>
      </c>
      <c r="I622" s="580"/>
      <c r="J622" s="579">
        <f ca="1">H622+1</f>
        <v>2029</v>
      </c>
      <c r="K622" s="580"/>
      <c r="L622" s="764">
        <f ca="1">J622+1</f>
        <v>2030</v>
      </c>
      <c r="M622" s="19"/>
      <c r="N622" s="579">
        <f ca="1">L622+1</f>
        <v>2031</v>
      </c>
      <c r="O622" s="580"/>
      <c r="P622" s="764">
        <f ca="1">N622+1</f>
        <v>2032</v>
      </c>
    </row>
    <row r="623" spans="1:16" ht="20">
      <c r="A623" s="391"/>
      <c r="B623" s="507"/>
      <c r="C623" s="508"/>
      <c r="D623" s="507"/>
      <c r="E623" s="509"/>
      <c r="F623" s="202"/>
      <c r="G623" s="506"/>
      <c r="H623" s="202"/>
      <c r="I623" s="506"/>
      <c r="J623" s="202"/>
      <c r="K623" s="506"/>
      <c r="L623" s="708"/>
      <c r="M623" s="19"/>
      <c r="N623" s="202"/>
      <c r="O623" s="506"/>
      <c r="P623" s="708"/>
    </row>
    <row r="624" spans="1:16" ht="20">
      <c r="A624" s="665"/>
      <c r="B624" s="379" t="s">
        <v>344</v>
      </c>
      <c r="C624" s="508"/>
      <c r="D624" s="699">
        <f>D796</f>
        <v>2.9213996666666677</v>
      </c>
      <c r="E624" s="666"/>
      <c r="F624" s="699">
        <f>F644</f>
        <v>3.881067228158114</v>
      </c>
      <c r="G624" s="666"/>
      <c r="H624" s="699">
        <f>H644</f>
        <v>4.0621990183219783</v>
      </c>
      <c r="I624" s="666"/>
      <c r="J624" s="699">
        <f>J644</f>
        <v>4.2631390260186777</v>
      </c>
      <c r="K624" s="666"/>
      <c r="L624" s="743">
        <f>L644</f>
        <v>4.4973095832179748</v>
      </c>
      <c r="M624" s="19"/>
      <c r="N624" s="699">
        <f>N644</f>
        <v>4.5858608374335805</v>
      </c>
      <c r="O624" s="666"/>
      <c r="P624" s="743">
        <f>P644</f>
        <v>4.695857089748424</v>
      </c>
    </row>
    <row r="625" spans="1:16" s="335" customFormat="1" ht="8.25" customHeight="1">
      <c r="A625" s="391"/>
      <c r="B625" s="506"/>
      <c r="C625" s="615"/>
      <c r="D625" s="666"/>
      <c r="E625" s="666"/>
      <c r="F625" s="667"/>
      <c r="G625" s="667"/>
      <c r="H625" s="667"/>
      <c r="I625" s="667"/>
      <c r="J625" s="667"/>
      <c r="K625" s="667"/>
      <c r="L625" s="695"/>
      <c r="M625" s="497"/>
      <c r="N625" s="667"/>
      <c r="O625" s="667"/>
      <c r="P625" s="695"/>
    </row>
    <row r="626" spans="1:16" ht="20">
      <c r="A626" s="665"/>
      <c r="B626" s="576" t="s">
        <v>345</v>
      </c>
      <c r="C626" s="508"/>
      <c r="D626" s="699">
        <f>L409*12/100000/12*N7</f>
        <v>0.445025</v>
      </c>
      <c r="E626" s="666"/>
      <c r="F626" s="699">
        <f>F660</f>
        <v>0.45227437500000006</v>
      </c>
      <c r="G626" s="666"/>
      <c r="H626" s="699">
        <f>H660</f>
        <v>0.31901625000000006</v>
      </c>
      <c r="I626" s="666"/>
      <c r="J626" s="699">
        <f>J660</f>
        <v>0.18575812500000005</v>
      </c>
      <c r="K626" s="666"/>
      <c r="L626" s="699">
        <f>L660</f>
        <v>5.2500000000000047E-2</v>
      </c>
      <c r="M626" s="19"/>
      <c r="N626" s="699">
        <f>N660</f>
        <v>-8.0758125000000014E-2</v>
      </c>
      <c r="O626" s="666"/>
      <c r="P626" s="699">
        <f>P660</f>
        <v>-0.21401625000000002</v>
      </c>
    </row>
    <row r="627" spans="1:16" s="335" customFormat="1" ht="8.25" customHeight="1">
      <c r="A627" s="391"/>
      <c r="B627" s="506"/>
      <c r="C627" s="615"/>
      <c r="D627" s="666"/>
      <c r="E627" s="666"/>
      <c r="F627" s="667"/>
      <c r="G627" s="667"/>
      <c r="H627" s="667"/>
      <c r="I627" s="667"/>
      <c r="J627" s="667"/>
      <c r="K627" s="667"/>
      <c r="L627" s="695"/>
      <c r="M627" s="497"/>
      <c r="N627" s="667"/>
      <c r="O627" s="667"/>
      <c r="P627" s="695"/>
    </row>
    <row r="628" spans="1:16" ht="20">
      <c r="A628" s="665"/>
      <c r="B628" s="576" t="s">
        <v>285</v>
      </c>
      <c r="C628" s="508"/>
      <c r="D628" s="699">
        <f>L586/12*N7</f>
        <v>0.52066666666666672</v>
      </c>
      <c r="E628" s="666"/>
      <c r="F628" s="699">
        <f>(L167)*P64/100/100000</f>
        <v>0.72893333333333343</v>
      </c>
      <c r="G628" s="666"/>
      <c r="H628" s="699">
        <f>L167*P65/100/100000</f>
        <v>0.65603999999999996</v>
      </c>
      <c r="I628" s="666"/>
      <c r="J628" s="699">
        <f>L167*P66/100/100000</f>
        <v>0.59043599999999996</v>
      </c>
      <c r="K628" s="666"/>
      <c r="L628" s="743">
        <f>L167*P67/100/100000</f>
        <v>0.53139239999999999</v>
      </c>
      <c r="M628" s="19"/>
      <c r="N628" s="699">
        <f>L167*P68/100/100000</f>
        <v>0.51241410000000009</v>
      </c>
      <c r="O628" s="666"/>
      <c r="P628" s="743">
        <f>L167*P69/100/100000</f>
        <v>0.51241410000000009</v>
      </c>
    </row>
    <row r="629" spans="1:16" s="335" customFormat="1" ht="8.25" customHeight="1">
      <c r="A629" s="391"/>
      <c r="B629" s="506"/>
      <c r="C629" s="615"/>
      <c r="D629" s="666"/>
      <c r="E629" s="666"/>
      <c r="F629" s="667"/>
      <c r="G629" s="667"/>
      <c r="H629" s="667"/>
      <c r="I629" s="667"/>
      <c r="J629" s="667"/>
      <c r="K629" s="667"/>
      <c r="L629" s="695"/>
      <c r="M629" s="497"/>
      <c r="N629" s="667"/>
      <c r="O629" s="667"/>
      <c r="P629" s="695"/>
    </row>
    <row r="630" spans="1:16" ht="20">
      <c r="A630" s="665"/>
      <c r="B630" s="576" t="s">
        <v>346</v>
      </c>
      <c r="C630" s="508"/>
      <c r="D630" s="699">
        <f>SUM(H365)/60*12/100000/12*N7</f>
        <v>0.84766666666666668</v>
      </c>
      <c r="E630" s="666"/>
      <c r="F630" s="699">
        <f>D630</f>
        <v>0.84766666666666668</v>
      </c>
      <c r="G630" s="666"/>
      <c r="H630" s="699">
        <f>F630</f>
        <v>0.84766666666666668</v>
      </c>
      <c r="I630" s="666"/>
      <c r="J630" s="699">
        <f>H630</f>
        <v>0.84766666666666668</v>
      </c>
      <c r="K630" s="666"/>
      <c r="L630" s="743">
        <f>J630</f>
        <v>0.84766666666666668</v>
      </c>
      <c r="M630" s="19"/>
      <c r="N630" s="699">
        <f>L630</f>
        <v>0.84766666666666668</v>
      </c>
      <c r="O630" s="666"/>
      <c r="P630" s="743">
        <f>N630</f>
        <v>0.84766666666666668</v>
      </c>
    </row>
    <row r="631" spans="1:16" s="335" customFormat="1" ht="8.25" customHeight="1">
      <c r="A631" s="391"/>
      <c r="B631" s="506"/>
      <c r="C631" s="615"/>
      <c r="D631" s="666"/>
      <c r="E631" s="666"/>
      <c r="F631" s="667"/>
      <c r="G631" s="667"/>
      <c r="H631" s="667"/>
      <c r="I631" s="667"/>
      <c r="J631" s="667"/>
      <c r="K631" s="667"/>
      <c r="L631" s="695"/>
      <c r="M631" s="497"/>
      <c r="N631" s="667"/>
      <c r="O631" s="667"/>
      <c r="P631" s="695"/>
    </row>
    <row r="632" spans="1:16" ht="20">
      <c r="A632" s="665"/>
      <c r="B632" s="491" t="s">
        <v>347</v>
      </c>
      <c r="C632" s="508"/>
      <c r="D632" s="753">
        <f>SUM(D624,D626,D628)/SUM(D628,D630)</f>
        <v>2.840748842874544</v>
      </c>
      <c r="E632" s="754"/>
      <c r="F632" s="753">
        <f>SUM(F624,F626,F628)/SUM(F628,F630)</f>
        <v>3.2108809694858862</v>
      </c>
      <c r="G632" s="754"/>
      <c r="H632" s="753">
        <f>SUM(H624,H626,H628)/SUM(H628,H630)</f>
        <v>3.3498922229880685</v>
      </c>
      <c r="I632" s="754"/>
      <c r="J632" s="753">
        <f>SUM(J624,J626,J628)/SUM(J628,J630)</f>
        <v>3.5041539577276435</v>
      </c>
      <c r="K632" s="754"/>
      <c r="L632" s="765">
        <f>SUM(L624,L626,L628)/SUM(L628,L630)</f>
        <v>3.6845426755358517</v>
      </c>
      <c r="M632" s="19"/>
      <c r="N632" s="753">
        <f>SUM(N624,N626,N628)/SUM(N628,N630)</f>
        <v>3.6891315099842821</v>
      </c>
      <c r="O632" s="754"/>
      <c r="P632" s="765">
        <f>SUM(P624,P626,P628)/SUM(P628,P630)</f>
        <v>3.6720282075516129</v>
      </c>
    </row>
    <row r="633" spans="1:16" s="335" customFormat="1" ht="8.25" customHeight="1">
      <c r="A633" s="391"/>
      <c r="B633" s="506"/>
      <c r="C633" s="615"/>
      <c r="D633" s="666"/>
      <c r="E633" s="666"/>
      <c r="F633" s="667"/>
      <c r="G633" s="667"/>
      <c r="H633" s="667"/>
      <c r="I633" s="667"/>
      <c r="J633" s="667"/>
      <c r="K633" s="667"/>
      <c r="L633" s="695"/>
      <c r="M633" s="497"/>
      <c r="N633" s="667"/>
      <c r="O633" s="667"/>
      <c r="P633" s="695"/>
    </row>
    <row r="634" spans="1:16" ht="20">
      <c r="A634" s="665"/>
      <c r="B634" s="755" t="s">
        <v>348</v>
      </c>
      <c r="C634" s="503"/>
      <c r="D634" s="756">
        <f>(D632+F632+H632+J632+L632)/5</f>
        <v>3.3180437337223991</v>
      </c>
      <c r="E634" s="757"/>
      <c r="F634" s="983" t="s">
        <v>349</v>
      </c>
      <c r="G634" s="506"/>
      <c r="H634" s="758"/>
      <c r="I634" s="766"/>
      <c r="J634" s="758"/>
      <c r="K634" s="766"/>
      <c r="L634" s="767"/>
      <c r="M634" s="19"/>
      <c r="N634" s="758"/>
      <c r="O634" s="766"/>
      <c r="P634" s="767"/>
    </row>
    <row r="635" spans="1:16" s="335" customFormat="1" ht="15.5">
      <c r="A635" s="391"/>
      <c r="B635" s="497"/>
      <c r="C635" s="496"/>
      <c r="D635" s="759"/>
      <c r="E635" s="759"/>
      <c r="F635" s="759"/>
      <c r="G635" s="759"/>
      <c r="H635" s="759"/>
      <c r="I635" s="759"/>
      <c r="J635" s="759"/>
      <c r="K635" s="759"/>
      <c r="L635" s="768"/>
      <c r="M635" s="497"/>
      <c r="N635" s="759"/>
      <c r="O635" s="759"/>
      <c r="P635" s="768"/>
    </row>
    <row r="636" spans="1:16" ht="15.5">
      <c r="A636" s="391"/>
      <c r="B636" s="19"/>
      <c r="C636" s="496"/>
      <c r="D636" s="290"/>
      <c r="E636" s="759"/>
      <c r="F636" s="290"/>
      <c r="G636" s="759"/>
      <c r="H636" s="290"/>
      <c r="I636" s="759"/>
      <c r="J636" s="290"/>
      <c r="K636" s="759"/>
      <c r="L636" s="769"/>
      <c r="M636" s="19"/>
      <c r="N636" s="290"/>
      <c r="O636" s="759"/>
      <c r="P636" s="769"/>
    </row>
    <row r="637" spans="1:16" ht="15.5">
      <c r="A637" s="391"/>
      <c r="B637" s="19"/>
      <c r="C637" s="496"/>
      <c r="D637" s="290"/>
      <c r="E637" s="759"/>
      <c r="F637" s="290"/>
      <c r="G637" s="759"/>
      <c r="H637" s="290"/>
      <c r="I637" s="759"/>
      <c r="J637" s="290"/>
      <c r="K637" s="759"/>
      <c r="L637" s="769"/>
      <c r="M637" s="19"/>
      <c r="N637" s="290"/>
      <c r="O637" s="759"/>
      <c r="P637" s="769"/>
    </row>
    <row r="638" spans="1:16" ht="15.5">
      <c r="A638" s="391"/>
      <c r="B638" s="19"/>
      <c r="C638" s="496"/>
      <c r="D638" s="290"/>
      <c r="E638" s="759"/>
      <c r="F638" s="290"/>
      <c r="G638" s="759"/>
      <c r="H638" s="290"/>
      <c r="I638" s="759"/>
      <c r="J638" s="290"/>
      <c r="K638" s="759"/>
      <c r="L638" s="769"/>
      <c r="M638" s="19"/>
      <c r="N638" s="290"/>
      <c r="O638" s="759"/>
      <c r="P638" s="769"/>
    </row>
    <row r="639" spans="1:16" ht="15.5">
      <c r="A639" s="391"/>
      <c r="B639" s="19"/>
      <c r="C639" s="496"/>
      <c r="D639" s="290"/>
      <c r="E639" s="759"/>
      <c r="F639" s="290"/>
      <c r="G639" s="759"/>
      <c r="H639" s="290"/>
      <c r="I639" s="759"/>
      <c r="J639" s="290"/>
      <c r="K639" s="759"/>
      <c r="L639" s="769"/>
      <c r="M639" s="19"/>
      <c r="N639" s="290"/>
      <c r="O639" s="759"/>
      <c r="P639" s="769"/>
    </row>
    <row r="640" spans="1:16" ht="15.5">
      <c r="A640" s="391"/>
      <c r="B640" s="19"/>
      <c r="C640" s="496"/>
      <c r="D640" s="290"/>
      <c r="E640" s="759"/>
      <c r="F640" s="290"/>
      <c r="G640" s="759"/>
      <c r="H640" s="290"/>
      <c r="I640" s="759"/>
      <c r="J640" s="290"/>
      <c r="K640" s="759"/>
      <c r="L640" s="769"/>
      <c r="M640" s="19"/>
      <c r="N640" s="290"/>
      <c r="O640" s="759"/>
      <c r="P640" s="769"/>
    </row>
    <row r="641" spans="1:16" ht="15.5">
      <c r="A641" s="391"/>
      <c r="B641" s="19"/>
      <c r="C641" s="496"/>
      <c r="D641" s="290"/>
      <c r="E641" s="759"/>
      <c r="F641" s="290"/>
      <c r="G641" s="759"/>
      <c r="H641" s="290"/>
      <c r="I641" s="759"/>
      <c r="J641" s="290"/>
      <c r="K641" s="759"/>
      <c r="L641" s="769"/>
      <c r="M641" s="19"/>
      <c r="N641" s="290"/>
      <c r="O641" s="759"/>
      <c r="P641" s="769"/>
    </row>
    <row r="642" spans="1:16" ht="20">
      <c r="A642" s="391"/>
      <c r="B642" s="770" t="s">
        <v>350</v>
      </c>
      <c r="C642" s="771"/>
      <c r="D642" s="507"/>
      <c r="E642" s="509"/>
      <c r="F642" s="507"/>
      <c r="G642" s="509"/>
      <c r="H642" s="507"/>
      <c r="I642" s="509"/>
      <c r="J642" s="507"/>
      <c r="K642" s="509"/>
      <c r="L642" s="552"/>
      <c r="M642" s="19"/>
      <c r="N642" s="507"/>
      <c r="O642" s="509"/>
      <c r="P642" s="552"/>
    </row>
    <row r="643" spans="1:16" ht="20">
      <c r="A643" s="391"/>
      <c r="B643" s="772"/>
      <c r="C643" s="771"/>
      <c r="D643" s="507"/>
      <c r="E643" s="509"/>
      <c r="F643" s="507"/>
      <c r="G643" s="509"/>
      <c r="H643" s="507"/>
      <c r="I643" s="509"/>
      <c r="J643" s="507"/>
      <c r="K643" s="509"/>
      <c r="L643" s="552"/>
      <c r="M643" s="19"/>
      <c r="N643" s="507"/>
      <c r="O643" s="509"/>
      <c r="P643" s="552"/>
    </row>
    <row r="644" spans="1:16" ht="20">
      <c r="A644" s="665"/>
      <c r="B644" s="576" t="s">
        <v>351</v>
      </c>
      <c r="C644" s="508"/>
      <c r="D644" s="773">
        <f>D796</f>
        <v>2.9213996666666677</v>
      </c>
      <c r="E644" s="766"/>
      <c r="F644" s="773">
        <f>F796</f>
        <v>3.881067228158114</v>
      </c>
      <c r="G644" s="766"/>
      <c r="H644" s="773">
        <f>H796</f>
        <v>4.0621990183219783</v>
      </c>
      <c r="I644" s="766"/>
      <c r="J644" s="773">
        <f>J796</f>
        <v>4.2631390260186777</v>
      </c>
      <c r="K644" s="766"/>
      <c r="L644" s="801">
        <f>L796</f>
        <v>4.4973095832179748</v>
      </c>
      <c r="M644" s="19"/>
      <c r="N644" s="773">
        <f>N796</f>
        <v>4.5858608374335805</v>
      </c>
      <c r="O644" s="766"/>
      <c r="P644" s="801">
        <f>P796</f>
        <v>4.695857089748424</v>
      </c>
    </row>
    <row r="645" spans="1:16" s="335" customFormat="1" ht="8.25" customHeight="1">
      <c r="A645" s="665"/>
      <c r="B645" s="506"/>
      <c r="C645" s="615"/>
      <c r="D645" s="666"/>
      <c r="E645" s="666"/>
      <c r="F645" s="667"/>
      <c r="G645" s="667"/>
      <c r="H645" s="667"/>
      <c r="I645" s="667"/>
      <c r="J645" s="667"/>
      <c r="K645" s="667"/>
      <c r="L645" s="695"/>
      <c r="M645" s="497"/>
      <c r="N645" s="667"/>
      <c r="O645" s="667"/>
      <c r="P645" s="695"/>
    </row>
    <row r="646" spans="1:16" s="335" customFormat="1" ht="8.25" customHeight="1">
      <c r="A646" s="391"/>
      <c r="B646" s="747"/>
      <c r="C646" s="615"/>
      <c r="D646" s="699"/>
      <c r="E646" s="666"/>
      <c r="F646" s="774"/>
      <c r="G646" s="667"/>
      <c r="H646" s="774"/>
      <c r="I646" s="667"/>
      <c r="J646" s="774"/>
      <c r="K646" s="667"/>
      <c r="L646" s="802"/>
      <c r="M646" s="497"/>
      <c r="N646" s="774"/>
      <c r="O646" s="667"/>
      <c r="P646" s="802"/>
    </row>
    <row r="647" spans="1:16" ht="20">
      <c r="A647" s="665"/>
      <c r="B647" s="576" t="s">
        <v>285</v>
      </c>
      <c r="C647" s="508"/>
      <c r="D647" s="699">
        <f>D628</f>
        <v>0.52066666666666672</v>
      </c>
      <c r="E647" s="666"/>
      <c r="F647" s="699">
        <f>F628</f>
        <v>0.72893333333333343</v>
      </c>
      <c r="G647" s="666"/>
      <c r="H647" s="699">
        <f>H628</f>
        <v>0.65603999999999996</v>
      </c>
      <c r="I647" s="666"/>
      <c r="J647" s="699">
        <f>J628</f>
        <v>0.59043599999999996</v>
      </c>
      <c r="K647" s="666"/>
      <c r="L647" s="743">
        <f>L628</f>
        <v>0.53139239999999999</v>
      </c>
      <c r="M647" s="19"/>
      <c r="N647" s="699">
        <f>N628</f>
        <v>0.51241410000000009</v>
      </c>
      <c r="O647" s="666"/>
      <c r="P647" s="743">
        <f>P628</f>
        <v>0.51241410000000009</v>
      </c>
    </row>
    <row r="648" spans="1:16" s="335" customFormat="1" ht="8.25" customHeight="1">
      <c r="A648" s="391"/>
      <c r="B648" s="506"/>
      <c r="C648" s="615"/>
      <c r="D648" s="666"/>
      <c r="E648" s="666"/>
      <c r="F648" s="667"/>
      <c r="G648" s="667"/>
      <c r="H648" s="667"/>
      <c r="I648" s="667"/>
      <c r="J648" s="667"/>
      <c r="K648" s="667"/>
      <c r="L648" s="695"/>
      <c r="M648" s="497"/>
      <c r="N648" s="667"/>
      <c r="O648" s="667"/>
      <c r="P648" s="695"/>
    </row>
    <row r="649" spans="1:16" ht="20">
      <c r="A649" s="665"/>
      <c r="B649" s="576" t="s">
        <v>352</v>
      </c>
      <c r="C649" s="508"/>
      <c r="D649" s="699">
        <f>F365/100000</f>
        <v>2.8508</v>
      </c>
      <c r="E649" s="666"/>
      <c r="F649" s="699">
        <v>0.1</v>
      </c>
      <c r="G649" s="666"/>
      <c r="H649" s="699">
        <f>F649</f>
        <v>0.1</v>
      </c>
      <c r="I649" s="666"/>
      <c r="J649" s="699">
        <f>H649</f>
        <v>0.1</v>
      </c>
      <c r="K649" s="666"/>
      <c r="L649" s="743">
        <f>J649</f>
        <v>0.1</v>
      </c>
      <c r="M649" s="118"/>
      <c r="N649" s="699">
        <f>L649</f>
        <v>0.1</v>
      </c>
      <c r="O649" s="666"/>
      <c r="P649" s="743">
        <f>N649</f>
        <v>0.1</v>
      </c>
    </row>
    <row r="650" spans="1:16" s="335" customFormat="1" ht="8.25" customHeight="1">
      <c r="A650" s="391"/>
      <c r="B650" s="506"/>
      <c r="C650" s="615"/>
      <c r="D650" s="666"/>
      <c r="E650" s="666"/>
      <c r="F650" s="667"/>
      <c r="G650" s="667"/>
      <c r="H650" s="667"/>
      <c r="I650" s="667"/>
      <c r="J650" s="667"/>
      <c r="K650" s="667"/>
      <c r="L650" s="695"/>
      <c r="M650" s="497"/>
      <c r="N650" s="667"/>
      <c r="O650" s="667"/>
      <c r="P650" s="695"/>
    </row>
    <row r="651" spans="1:16" ht="20">
      <c r="A651" s="665"/>
      <c r="B651" s="576" t="s">
        <v>353</v>
      </c>
      <c r="C651" s="508"/>
      <c r="D651" s="699">
        <f>H365/100000</f>
        <v>6.3574999999999999</v>
      </c>
      <c r="E651" s="666"/>
      <c r="F651" s="699" t="s">
        <v>354</v>
      </c>
      <c r="G651" s="666"/>
      <c r="H651" s="699" t="s">
        <v>354</v>
      </c>
      <c r="I651" s="666"/>
      <c r="J651" s="699" t="s">
        <v>354</v>
      </c>
      <c r="K651" s="666"/>
      <c r="L651" s="743" t="s">
        <v>354</v>
      </c>
      <c r="M651" s="118"/>
      <c r="N651" s="699" t="s">
        <v>354</v>
      </c>
      <c r="O651" s="666"/>
      <c r="P651" s="743" t="s">
        <v>354</v>
      </c>
    </row>
    <row r="652" spans="1:16" s="335" customFormat="1" ht="8.25" customHeight="1">
      <c r="A652" s="391"/>
      <c r="B652" s="506"/>
      <c r="C652" s="615"/>
      <c r="D652" s="666"/>
      <c r="E652" s="666"/>
      <c r="F652" s="667"/>
      <c r="G652" s="667"/>
      <c r="H652" s="667"/>
      <c r="I652" s="667"/>
      <c r="J652" s="667"/>
      <c r="K652" s="667"/>
      <c r="L652" s="695"/>
      <c r="M652" s="497"/>
      <c r="N652" s="667"/>
      <c r="O652" s="667"/>
      <c r="P652" s="695"/>
    </row>
    <row r="653" spans="1:16" ht="20">
      <c r="A653" s="665"/>
      <c r="B653" s="509"/>
      <c r="C653" s="508"/>
      <c r="D653" s="775">
        <f>SUM(D644:D651)</f>
        <v>12.650366333333334</v>
      </c>
      <c r="E653" s="754"/>
      <c r="F653" s="775">
        <f>SUM(F644:F651)</f>
        <v>4.7100005614914471</v>
      </c>
      <c r="G653" s="753"/>
      <c r="H653" s="775">
        <f>SUM(H644:H651)</f>
        <v>4.8182390183219779</v>
      </c>
      <c r="I653" s="803"/>
      <c r="J653" s="775">
        <f>SUM(J644:J651)</f>
        <v>4.9535750260186777</v>
      </c>
      <c r="K653" s="775"/>
      <c r="L653" s="804">
        <f>SUM(L644:L651)</f>
        <v>5.1287019832179741</v>
      </c>
      <c r="M653" s="118"/>
      <c r="N653" s="775">
        <f>SUM(N644:N651)</f>
        <v>5.1982749374335802</v>
      </c>
      <c r="O653" s="775"/>
      <c r="P653" s="804">
        <f>SUM(P644:P651)</f>
        <v>5.3082711897484236</v>
      </c>
    </row>
    <row r="654" spans="1:16" s="335" customFormat="1" ht="20">
      <c r="A654" s="665"/>
      <c r="B654" s="509"/>
      <c r="C654" s="508"/>
      <c r="D654" s="754"/>
      <c r="E654" s="754"/>
      <c r="F654" s="754"/>
      <c r="G654" s="754"/>
      <c r="H654" s="754"/>
      <c r="I654" s="754"/>
      <c r="J654" s="754"/>
      <c r="K654" s="754"/>
      <c r="L654" s="805"/>
      <c r="M654" s="741"/>
      <c r="N654" s="754"/>
      <c r="O654" s="754"/>
      <c r="P654" s="805"/>
    </row>
    <row r="655" spans="1:16" s="335" customFormat="1" ht="8.25" customHeight="1">
      <c r="A655" s="391"/>
      <c r="B655" s="506"/>
      <c r="C655" s="615"/>
      <c r="D655" s="666"/>
      <c r="E655" s="666"/>
      <c r="F655" s="667"/>
      <c r="G655" s="667"/>
      <c r="H655" s="667"/>
      <c r="I655" s="667"/>
      <c r="J655" s="667"/>
      <c r="K655" s="667"/>
      <c r="L655" s="695"/>
      <c r="M655" s="497"/>
      <c r="N655" s="667"/>
      <c r="O655" s="667"/>
      <c r="P655" s="695"/>
    </row>
    <row r="656" spans="1:16" ht="20">
      <c r="A656" s="665"/>
      <c r="B656" s="576" t="s">
        <v>355</v>
      </c>
      <c r="C656" s="508"/>
      <c r="D656" s="699">
        <f>L167/100000</f>
        <v>7.81</v>
      </c>
      <c r="E656" s="666"/>
      <c r="F656" s="699"/>
      <c r="G656" s="666"/>
      <c r="H656" s="699"/>
      <c r="I656" s="666"/>
      <c r="J656" s="699"/>
      <c r="K656" s="666"/>
      <c r="L656" s="743"/>
      <c r="M656" s="118"/>
      <c r="N656" s="699"/>
      <c r="O656" s="666"/>
      <c r="P656" s="743"/>
    </row>
    <row r="657" spans="1:16" s="335" customFormat="1" ht="8.25" customHeight="1">
      <c r="A657" s="391"/>
      <c r="B657" s="506"/>
      <c r="C657" s="615"/>
      <c r="D657" s="666"/>
      <c r="E657" s="666"/>
      <c r="F657" s="667"/>
      <c r="G657" s="667"/>
      <c r="H657" s="667"/>
      <c r="I657" s="667"/>
      <c r="J657" s="667"/>
      <c r="K657" s="667"/>
      <c r="L657" s="695"/>
      <c r="M657" s="497"/>
      <c r="N657" s="667"/>
      <c r="O657" s="667"/>
      <c r="P657" s="695"/>
    </row>
    <row r="658" spans="1:16" ht="20">
      <c r="A658" s="665"/>
      <c r="B658" s="576" t="s">
        <v>356</v>
      </c>
      <c r="C658" s="508"/>
      <c r="D658" s="699">
        <f>L352/100000</f>
        <v>1.3983000000000001</v>
      </c>
      <c r="E658" s="666"/>
      <c r="F658" s="699">
        <f>D658+D658*2/100</f>
        <v>1.426266</v>
      </c>
      <c r="G658" s="666"/>
      <c r="H658" s="699">
        <f>F658+F658*2/100</f>
        <v>1.45479132</v>
      </c>
      <c r="I658" s="666"/>
      <c r="J658" s="699">
        <f>H658+H658*2/100</f>
        <v>1.4838871464000001</v>
      </c>
      <c r="K658" s="666"/>
      <c r="L658" s="743">
        <f>J658+J658*2/100</f>
        <v>1.513564889328</v>
      </c>
      <c r="M658" s="118"/>
      <c r="N658" s="699">
        <f>L658+L658*2/100</f>
        <v>1.5438361871145601</v>
      </c>
      <c r="O658" s="666"/>
      <c r="P658" s="743">
        <f>N658+N658*2/100</f>
        <v>1.5747129108568512</v>
      </c>
    </row>
    <row r="659" spans="1:16" s="335" customFormat="1" ht="8.25" customHeight="1">
      <c r="A659" s="391"/>
      <c r="B659" s="506"/>
      <c r="C659" s="615"/>
      <c r="D659" s="666"/>
      <c r="E659" s="666"/>
      <c r="F659" s="667"/>
      <c r="G659" s="667"/>
      <c r="H659" s="667"/>
      <c r="I659" s="667"/>
      <c r="J659" s="667"/>
      <c r="K659" s="667"/>
      <c r="L659" s="695"/>
      <c r="M659" s="497"/>
      <c r="N659" s="667"/>
      <c r="O659" s="667"/>
      <c r="P659" s="695"/>
    </row>
    <row r="660" spans="1:16" ht="20">
      <c r="A660" s="665"/>
      <c r="B660" s="576" t="s">
        <v>357</v>
      </c>
      <c r="C660" s="508"/>
      <c r="D660" s="699">
        <f>D820</f>
        <v>0.39035500000000001</v>
      </c>
      <c r="E660" s="666"/>
      <c r="F660" s="699">
        <f>F820</f>
        <v>0.45227437500000006</v>
      </c>
      <c r="G660" s="666"/>
      <c r="H660" s="699">
        <f>H820</f>
        <v>0.31901625000000006</v>
      </c>
      <c r="I660" s="666"/>
      <c r="J660" s="699">
        <f>J820</f>
        <v>0.18575812500000005</v>
      </c>
      <c r="K660" s="666"/>
      <c r="L660" s="743">
        <f>L820</f>
        <v>5.2500000000000047E-2</v>
      </c>
      <c r="M660" s="118"/>
      <c r="N660" s="699">
        <f>N820</f>
        <v>-8.0758125000000014E-2</v>
      </c>
      <c r="O660" s="666"/>
      <c r="P660" s="743">
        <f>P820</f>
        <v>-0.21401625000000002</v>
      </c>
    </row>
    <row r="661" spans="1:16" s="335" customFormat="1" ht="8.25" customHeight="1">
      <c r="A661" s="391"/>
      <c r="B661" s="506"/>
      <c r="C661" s="615"/>
      <c r="D661" s="666"/>
      <c r="E661" s="666"/>
      <c r="F661" s="667"/>
      <c r="G661" s="667"/>
      <c r="H661" s="667"/>
      <c r="I661" s="667"/>
      <c r="J661" s="667"/>
      <c r="K661" s="667"/>
      <c r="L661" s="695"/>
      <c r="M661" s="497"/>
      <c r="N661" s="667"/>
      <c r="O661" s="667"/>
      <c r="P661" s="695"/>
    </row>
    <row r="662" spans="1:16" ht="20">
      <c r="A662" s="665"/>
      <c r="B662" s="576" t="s">
        <v>358</v>
      </c>
      <c r="C662" s="508"/>
      <c r="D662" s="776">
        <f>J486/100000/12*N7</f>
        <v>0.4</v>
      </c>
      <c r="E662" s="666"/>
      <c r="F662" s="776">
        <f>(J486/100000)</f>
        <v>0.6</v>
      </c>
      <c r="G662" s="666"/>
      <c r="H662" s="776">
        <f>F662+F662*10/100</f>
        <v>0.66</v>
      </c>
      <c r="I662" s="806"/>
      <c r="J662" s="776">
        <f>H662+H662*10/100</f>
        <v>0.72599999999999998</v>
      </c>
      <c r="K662" s="806"/>
      <c r="L662" s="807">
        <f>J662+J662*10/100</f>
        <v>0.79859999999999998</v>
      </c>
      <c r="M662" s="118"/>
      <c r="N662" s="776">
        <f>L662+L662*10/100</f>
        <v>0.87846000000000002</v>
      </c>
      <c r="O662" s="806"/>
      <c r="P662" s="807">
        <f>N662+N662*10/100</f>
        <v>0.966306</v>
      </c>
    </row>
    <row r="663" spans="1:16" s="335" customFormat="1" ht="8.25" customHeight="1">
      <c r="A663" s="391"/>
      <c r="B663" s="506"/>
      <c r="C663" s="615"/>
      <c r="D663" s="744"/>
      <c r="E663" s="744"/>
      <c r="F663" s="744"/>
      <c r="G663" s="744"/>
      <c r="H663" s="744"/>
      <c r="I663" s="744"/>
      <c r="J663" s="744"/>
      <c r="K663" s="744"/>
      <c r="L663" s="763"/>
      <c r="M663" s="497"/>
      <c r="N663" s="744"/>
      <c r="O663" s="744"/>
      <c r="P663" s="763"/>
    </row>
    <row r="664" spans="1:16" ht="20">
      <c r="A664" s="665"/>
      <c r="B664" s="509"/>
      <c r="C664" s="508"/>
      <c r="D664" s="777">
        <f>SUM(D656:D662)</f>
        <v>9.9986549999999994</v>
      </c>
      <c r="E664" s="744"/>
      <c r="F664" s="777">
        <f>SUM(F656:F662)</f>
        <v>2.4785403750000001</v>
      </c>
      <c r="G664" s="777"/>
      <c r="H664" s="777">
        <f>SUM(H658:H662)</f>
        <v>2.4338075699999999</v>
      </c>
      <c r="I664" s="744"/>
      <c r="J664" s="777">
        <f>SUM(J658:J662)</f>
        <v>2.3956452714000003</v>
      </c>
      <c r="K664" s="777"/>
      <c r="L664" s="739">
        <f>SUM(L658:L662)</f>
        <v>2.364664889328</v>
      </c>
      <c r="M664" s="118"/>
      <c r="N664" s="777">
        <f>SUM(N658:N662)</f>
        <v>2.3415380621145601</v>
      </c>
      <c r="O664" s="777"/>
      <c r="P664" s="739">
        <f>SUM(P658:P662)</f>
        <v>2.3270026608568513</v>
      </c>
    </row>
    <row r="665" spans="1:16" s="335" customFormat="1" ht="8.25" customHeight="1">
      <c r="A665" s="391"/>
      <c r="B665" s="506"/>
      <c r="C665" s="615"/>
      <c r="D665" s="666"/>
      <c r="E665" s="666"/>
      <c r="F665" s="667"/>
      <c r="G665" s="667"/>
      <c r="H665" s="667"/>
      <c r="I665" s="667"/>
      <c r="J665" s="667"/>
      <c r="K665" s="667"/>
      <c r="L665" s="695"/>
      <c r="M665" s="497"/>
      <c r="N665" s="667"/>
      <c r="O665" s="667"/>
      <c r="P665" s="695"/>
    </row>
    <row r="666" spans="1:16" ht="20">
      <c r="A666" s="391"/>
      <c r="B666" s="576" t="s">
        <v>359</v>
      </c>
      <c r="C666" s="508"/>
      <c r="D666" s="778">
        <f>D653-D664</f>
        <v>2.6517113333333349</v>
      </c>
      <c r="E666" s="744"/>
      <c r="F666" s="778">
        <f>F653-F664</f>
        <v>2.231460186491447</v>
      </c>
      <c r="G666" s="777"/>
      <c r="H666" s="778">
        <f>H653-H664</f>
        <v>2.384431448321978</v>
      </c>
      <c r="I666" s="808"/>
      <c r="J666" s="778">
        <f>J653-J664</f>
        <v>2.5579297546186774</v>
      </c>
      <c r="K666" s="778"/>
      <c r="L666" s="809">
        <f>L653-L664</f>
        <v>2.7640370938899741</v>
      </c>
      <c r="M666" s="118"/>
      <c r="N666" s="778">
        <f>N653-N664</f>
        <v>2.8567368753190201</v>
      </c>
      <c r="O666" s="778"/>
      <c r="P666" s="809">
        <f>P653-P664</f>
        <v>2.9812685288915723</v>
      </c>
    </row>
    <row r="667" spans="1:16" ht="20">
      <c r="A667" s="391"/>
      <c r="B667" s="507"/>
      <c r="C667" s="508"/>
      <c r="D667" s="779"/>
      <c r="E667" s="666"/>
      <c r="F667" s="779"/>
      <c r="G667" s="666"/>
      <c r="H667" s="779"/>
      <c r="I667" s="666"/>
      <c r="J667" s="779"/>
      <c r="K667" s="666"/>
      <c r="L667" s="742"/>
      <c r="M667" s="118"/>
      <c r="N667" s="779"/>
      <c r="O667" s="666"/>
      <c r="P667" s="742"/>
    </row>
    <row r="668" spans="1:16" ht="15.5" hidden="1">
      <c r="A668" s="391"/>
      <c r="B668" s="19"/>
      <c r="C668" s="496"/>
      <c r="D668" s="118"/>
      <c r="E668" s="741"/>
      <c r="F668" s="118"/>
      <c r="G668" s="741"/>
      <c r="H668" s="118"/>
      <c r="I668" s="741"/>
      <c r="J668" s="118"/>
      <c r="K668" s="741"/>
      <c r="L668" s="738"/>
      <c r="M668" s="118"/>
      <c r="N668" s="118"/>
      <c r="O668" s="741"/>
      <c r="P668" s="738"/>
    </row>
    <row r="669" spans="1:16" ht="15.5" hidden="1">
      <c r="A669" s="391"/>
      <c r="B669" s="19"/>
      <c r="C669" s="496"/>
      <c r="D669" s="118"/>
      <c r="E669" s="741"/>
      <c r="F669" s="118"/>
      <c r="G669" s="741"/>
      <c r="H669" s="118"/>
      <c r="I669" s="741"/>
      <c r="J669" s="118"/>
      <c r="K669" s="741"/>
      <c r="L669" s="738"/>
      <c r="M669" s="118"/>
      <c r="N669" s="118"/>
      <c r="O669" s="741"/>
      <c r="P669" s="738"/>
    </row>
    <row r="670" spans="1:16" ht="15.5" hidden="1">
      <c r="A670" s="391"/>
      <c r="B670" s="19"/>
      <c r="C670" s="496"/>
      <c r="D670" s="118"/>
      <c r="E670" s="741"/>
      <c r="F670" s="118"/>
      <c r="G670" s="741"/>
      <c r="H670" s="118"/>
      <c r="I670" s="741"/>
      <c r="J670" s="118"/>
      <c r="K670" s="741"/>
      <c r="L670" s="738"/>
      <c r="M670" s="118"/>
      <c r="N670" s="118"/>
      <c r="O670" s="741"/>
      <c r="P670" s="738"/>
    </row>
    <row r="671" spans="1:16" ht="15.5" hidden="1">
      <c r="A671" s="391"/>
      <c r="B671" s="19"/>
      <c r="C671" s="496"/>
      <c r="D671" s="118"/>
      <c r="E671" s="741"/>
      <c r="F671" s="118"/>
      <c r="G671" s="741"/>
      <c r="H671" s="118"/>
      <c r="I671" s="741"/>
      <c r="J671" s="118"/>
      <c r="K671" s="741"/>
      <c r="L671" s="738"/>
      <c r="M671" s="118"/>
      <c r="N671" s="118"/>
      <c r="O671" s="741"/>
      <c r="P671" s="738"/>
    </row>
    <row r="672" spans="1:16" ht="15.5">
      <c r="A672" s="391"/>
      <c r="B672" s="19"/>
      <c r="C672" s="496"/>
      <c r="D672" s="118"/>
      <c r="E672" s="741"/>
      <c r="F672" s="118"/>
      <c r="G672" s="741"/>
      <c r="H672" s="118"/>
      <c r="I672" s="741"/>
      <c r="J672" s="118"/>
      <c r="K672" s="741"/>
      <c r="L672" s="738"/>
      <c r="M672" s="118"/>
      <c r="N672" s="118"/>
      <c r="O672" s="741"/>
      <c r="P672" s="738"/>
    </row>
    <row r="673" spans="1:17" ht="15.5">
      <c r="A673" s="391"/>
      <c r="B673" s="19"/>
      <c r="C673" s="496"/>
      <c r="D673" s="118"/>
      <c r="E673" s="741"/>
      <c r="F673" s="118"/>
      <c r="G673" s="741"/>
      <c r="H673" s="118"/>
      <c r="I673" s="741"/>
      <c r="J673" s="118"/>
      <c r="K673" s="741"/>
      <c r="L673" s="738"/>
      <c r="M673" s="118"/>
      <c r="N673" s="118"/>
      <c r="O673" s="741"/>
      <c r="P673" s="738"/>
    </row>
    <row r="674" spans="1:17" ht="15.5">
      <c r="A674" s="391"/>
      <c r="B674" s="19"/>
      <c r="C674" s="496"/>
      <c r="D674" s="118"/>
      <c r="E674" s="741"/>
      <c r="F674" s="118"/>
      <c r="G674" s="741"/>
      <c r="H674" s="118"/>
      <c r="I674" s="741"/>
      <c r="J674" s="118"/>
      <c r="K674" s="741"/>
      <c r="L674" s="738"/>
      <c r="M674" s="118"/>
      <c r="N674" s="118"/>
      <c r="O674" s="741"/>
      <c r="P674" s="738"/>
    </row>
    <row r="675" spans="1:17" ht="15.5">
      <c r="A675" s="391"/>
      <c r="B675" s="19"/>
      <c r="C675" s="496"/>
      <c r="D675" s="118"/>
      <c r="E675" s="741"/>
      <c r="F675" s="118"/>
      <c r="G675" s="741"/>
      <c r="H675" s="118"/>
      <c r="I675" s="741"/>
      <c r="J675" s="118"/>
      <c r="K675" s="741"/>
      <c r="L675" s="738"/>
      <c r="M675" s="118"/>
      <c r="N675" s="118"/>
      <c r="O675" s="741"/>
      <c r="P675" s="738"/>
    </row>
    <row r="676" spans="1:17" ht="15.5">
      <c r="A676" s="391"/>
      <c r="B676" s="19"/>
      <c r="C676" s="496"/>
      <c r="D676" s="118"/>
      <c r="E676" s="741"/>
      <c r="F676" s="118"/>
      <c r="G676" s="741"/>
      <c r="H676" s="118"/>
      <c r="I676" s="741"/>
      <c r="J676" s="118"/>
      <c r="K676" s="741"/>
      <c r="L676" s="738"/>
      <c r="M676" s="118"/>
      <c r="N676" s="118"/>
      <c r="O676" s="741"/>
      <c r="P676" s="738"/>
    </row>
    <row r="677" spans="1:17" ht="15.5">
      <c r="A677" s="391"/>
      <c r="B677" s="19"/>
      <c r="C677" s="496"/>
      <c r="D677" s="118"/>
      <c r="E677" s="741"/>
      <c r="F677" s="118"/>
      <c r="G677" s="741"/>
      <c r="H677" s="118"/>
      <c r="I677" s="741"/>
      <c r="J677" s="118"/>
      <c r="K677" s="741"/>
      <c r="L677" s="738"/>
      <c r="M677" s="118"/>
      <c r="N677" s="118"/>
      <c r="O677" s="741"/>
      <c r="P677" s="738"/>
    </row>
    <row r="678" spans="1:17" ht="15.5">
      <c r="A678" s="382"/>
      <c r="B678" s="584"/>
      <c r="C678" s="585"/>
      <c r="D678" s="761"/>
      <c r="E678" s="780"/>
      <c r="F678" s="761"/>
      <c r="G678" s="780"/>
      <c r="H678" s="761"/>
      <c r="I678" s="780"/>
      <c r="J678" s="761"/>
      <c r="K678" s="780"/>
      <c r="L678" s="760"/>
      <c r="M678" s="118"/>
      <c r="N678" s="761"/>
      <c r="O678" s="780"/>
      <c r="P678" s="760"/>
    </row>
    <row r="679" spans="1:17" ht="15.5">
      <c r="B679" s="19"/>
      <c r="C679" s="496"/>
      <c r="D679" s="118"/>
      <c r="E679" s="741"/>
      <c r="F679" s="118"/>
      <c r="G679" s="741"/>
      <c r="H679" s="118"/>
      <c r="I679" s="741"/>
      <c r="J679" s="118"/>
      <c r="K679" s="741"/>
      <c r="L679" s="118"/>
      <c r="M679" s="118"/>
      <c r="N679" s="118"/>
      <c r="O679" s="741"/>
      <c r="P679" s="118"/>
    </row>
    <row r="680" spans="1:17" ht="15.5">
      <c r="B680" s="19"/>
      <c r="C680" s="496"/>
      <c r="D680" s="118"/>
      <c r="E680" s="741"/>
      <c r="F680" s="118"/>
      <c r="G680" s="741"/>
      <c r="H680" s="118"/>
      <c r="I680" s="741"/>
      <c r="J680" s="118"/>
      <c r="K680" s="741"/>
      <c r="L680" s="118"/>
      <c r="M680" s="118"/>
      <c r="N680" s="741"/>
      <c r="O680" s="741"/>
      <c r="P680" s="741"/>
      <c r="Q680" s="335"/>
    </row>
    <row r="681" spans="1:17" ht="15.5">
      <c r="A681" s="387"/>
      <c r="B681" s="587"/>
      <c r="C681" s="588"/>
      <c r="D681" s="781"/>
      <c r="E681" s="782"/>
      <c r="F681" s="781"/>
      <c r="G681" s="782"/>
      <c r="H681" s="781"/>
      <c r="I681" s="782"/>
      <c r="J681" s="781"/>
      <c r="K681" s="782"/>
      <c r="L681" s="810"/>
      <c r="M681" s="118"/>
      <c r="N681" s="741"/>
      <c r="O681" s="741"/>
      <c r="P681" s="741"/>
      <c r="Q681" s="335"/>
    </row>
    <row r="682" spans="1:17" ht="15.5">
      <c r="A682" s="391"/>
      <c r="B682" s="19"/>
      <c r="C682" s="496"/>
      <c r="D682" s="118"/>
      <c r="E682" s="741"/>
      <c r="F682" s="118"/>
      <c r="G682" s="741"/>
      <c r="H682" s="118"/>
      <c r="I682" s="741"/>
      <c r="J682" s="118"/>
      <c r="K682" s="741"/>
      <c r="L682" s="738"/>
      <c r="M682" s="118"/>
      <c r="N682" s="741"/>
      <c r="O682" s="741"/>
      <c r="P682" s="741"/>
      <c r="Q682" s="335"/>
    </row>
    <row r="683" spans="1:17" ht="15.5">
      <c r="A683" s="391"/>
      <c r="B683" s="19"/>
      <c r="C683" s="496"/>
      <c r="D683" s="118"/>
      <c r="E683" s="741"/>
      <c r="F683" s="118"/>
      <c r="G683" s="741"/>
      <c r="H683" s="118"/>
      <c r="I683" s="741"/>
      <c r="J683" s="118"/>
      <c r="K683" s="741"/>
      <c r="L683" s="738"/>
      <c r="M683" s="118"/>
      <c r="N683" s="741"/>
      <c r="O683" s="741"/>
      <c r="P683" s="741"/>
      <c r="Q683" s="335"/>
    </row>
    <row r="684" spans="1:17" ht="15.5">
      <c r="A684" s="391"/>
      <c r="B684" s="19"/>
      <c r="C684" s="496"/>
      <c r="D684" s="118"/>
      <c r="E684" s="741"/>
      <c r="F684" s="118"/>
      <c r="G684" s="741"/>
      <c r="H684" s="118"/>
      <c r="I684" s="741"/>
      <c r="J684" s="118"/>
      <c r="K684" s="741"/>
      <c r="L684" s="738"/>
      <c r="M684" s="118"/>
      <c r="N684" s="741"/>
      <c r="O684" s="741"/>
      <c r="P684" s="741"/>
      <c r="Q684" s="335"/>
    </row>
    <row r="685" spans="1:17" ht="32.5">
      <c r="A685" s="391"/>
      <c r="B685" s="590" t="s">
        <v>360</v>
      </c>
      <c r="C685" s="783"/>
      <c r="D685" s="784"/>
      <c r="E685" s="785"/>
      <c r="F685" s="784"/>
      <c r="G685" s="786"/>
      <c r="H685" s="787"/>
      <c r="I685" s="786"/>
      <c r="J685" s="787"/>
      <c r="K685" s="786"/>
      <c r="L685" s="811"/>
      <c r="M685" s="19"/>
      <c r="N685" s="786"/>
      <c r="O685" s="786"/>
      <c r="P685" s="786"/>
      <c r="Q685" s="335"/>
    </row>
    <row r="686" spans="1:17" ht="15.5">
      <c r="A686" s="391"/>
      <c r="B686" s="731"/>
      <c r="C686" s="732"/>
      <c r="D686" s="19"/>
      <c r="E686" s="497"/>
      <c r="F686" s="19"/>
      <c r="G686" s="497"/>
      <c r="H686" s="19"/>
      <c r="I686" s="497"/>
      <c r="J686" s="19"/>
      <c r="K686" s="497"/>
      <c r="L686" s="548"/>
      <c r="M686" s="19"/>
      <c r="N686" s="497"/>
      <c r="O686" s="497"/>
      <c r="P686" s="497"/>
      <c r="Q686" s="335"/>
    </row>
    <row r="687" spans="1:17" ht="15.5">
      <c r="A687" s="391"/>
      <c r="E687" s="497"/>
      <c r="F687" s="19"/>
      <c r="G687" s="497"/>
      <c r="H687" s="19"/>
      <c r="I687" s="812"/>
      <c r="J687" s="813"/>
      <c r="K687" s="497"/>
      <c r="L687" s="814"/>
      <c r="M687" s="19"/>
      <c r="N687" s="812"/>
      <c r="O687" s="497"/>
      <c r="P687" s="815"/>
      <c r="Q687" s="335"/>
    </row>
    <row r="688" spans="1:17" ht="15.5">
      <c r="A688" s="391"/>
      <c r="L688" s="476"/>
      <c r="M688" s="19"/>
      <c r="N688" s="335"/>
      <c r="O688" s="335"/>
      <c r="P688" s="335"/>
      <c r="Q688" s="335"/>
    </row>
    <row r="689" spans="1:20" ht="20">
      <c r="A689" s="391"/>
      <c r="D689" s="788" t="s">
        <v>337</v>
      </c>
      <c r="E689" s="789"/>
      <c r="F689" s="788" t="s">
        <v>338</v>
      </c>
      <c r="G689" s="789"/>
      <c r="H689" s="788" t="s">
        <v>339</v>
      </c>
      <c r="I689" s="789"/>
      <c r="J689" s="788" t="s">
        <v>340</v>
      </c>
      <c r="K689" s="789"/>
      <c r="L689" s="816" t="s">
        <v>341</v>
      </c>
      <c r="M689" s="19"/>
      <c r="N689" s="789"/>
      <c r="O689" s="789"/>
      <c r="P689" s="789"/>
      <c r="Q689" s="815"/>
    </row>
    <row r="690" spans="1:20" s="335" customFormat="1" ht="6" customHeight="1">
      <c r="A690" s="665"/>
      <c r="C690" s="340"/>
      <c r="D690" s="789"/>
      <c r="E690" s="789"/>
      <c r="F690" s="789"/>
      <c r="G690" s="789"/>
      <c r="H690" s="789"/>
      <c r="I690" s="789"/>
      <c r="J690" s="789"/>
      <c r="K690" s="789"/>
      <c r="L690" s="817"/>
      <c r="M690" s="497"/>
      <c r="N690" s="789"/>
      <c r="O690" s="789"/>
      <c r="P690" s="789"/>
      <c r="Q690" s="815"/>
    </row>
    <row r="691" spans="1:20" ht="20">
      <c r="A691" s="391"/>
      <c r="D691" s="788">
        <f ca="1">D622</f>
        <v>2026</v>
      </c>
      <c r="E691" s="789"/>
      <c r="F691" s="788">
        <f ca="1">D691+1</f>
        <v>2027</v>
      </c>
      <c r="G691" s="789"/>
      <c r="H691" s="788">
        <f ca="1">F691+1</f>
        <v>2028</v>
      </c>
      <c r="I691" s="789"/>
      <c r="J691" s="788">
        <f ca="1">H691+1</f>
        <v>2029</v>
      </c>
      <c r="K691" s="789"/>
      <c r="L691" s="816">
        <f ca="1">J691+1</f>
        <v>2030</v>
      </c>
      <c r="M691" s="19"/>
      <c r="N691" s="789"/>
      <c r="O691" s="789"/>
      <c r="P691" s="789"/>
      <c r="Q691" s="655"/>
    </row>
    <row r="692" spans="1:20" s="335" customFormat="1" ht="7.5" customHeight="1">
      <c r="A692" s="665"/>
      <c r="C692" s="340"/>
      <c r="D692" s="789"/>
      <c r="E692" s="789"/>
      <c r="F692" s="789"/>
      <c r="G692" s="789"/>
      <c r="H692" s="789"/>
      <c r="I692" s="789"/>
      <c r="J692" s="789"/>
      <c r="K692" s="789"/>
      <c r="L692" s="817"/>
      <c r="M692" s="497"/>
      <c r="N692" s="789"/>
      <c r="O692" s="789"/>
      <c r="P692" s="789"/>
      <c r="Q692" s="655"/>
    </row>
    <row r="693" spans="1:20" s="335" customFormat="1" ht="22.5">
      <c r="A693" s="665"/>
      <c r="B693" s="790" t="s">
        <v>361</v>
      </c>
      <c r="C693" s="791"/>
      <c r="D693" s="19"/>
      <c r="E693" s="789"/>
      <c r="F693" s="789"/>
      <c r="G693" s="789"/>
      <c r="H693" s="789"/>
      <c r="I693" s="789"/>
      <c r="J693" s="789"/>
      <c r="K693" s="789"/>
      <c r="L693" s="817"/>
      <c r="M693" s="497"/>
      <c r="N693" s="789"/>
      <c r="O693" s="789"/>
      <c r="P693" s="789"/>
      <c r="Q693" s="655"/>
    </row>
    <row r="694" spans="1:20" ht="8.25" customHeight="1">
      <c r="A694" s="391"/>
      <c r="D694" s="118"/>
      <c r="E694" s="741"/>
      <c r="F694" s="118"/>
      <c r="G694" s="741"/>
      <c r="H694" s="118"/>
      <c r="I694" s="741"/>
      <c r="J694" s="118"/>
      <c r="K694" s="741"/>
      <c r="L694" s="738"/>
      <c r="M694" s="19"/>
      <c r="N694" s="741"/>
      <c r="O694" s="741"/>
      <c r="P694" s="741"/>
      <c r="Q694" s="655"/>
    </row>
    <row r="695" spans="1:20" ht="20">
      <c r="A695" s="391"/>
      <c r="B695" s="792" t="s">
        <v>362</v>
      </c>
      <c r="C695" s="793"/>
      <c r="D695" s="699">
        <f>'T,P&amp;L,BS'!J121/'T,P&amp;L,BS'!J122</f>
        <v>9.0237501740424726</v>
      </c>
      <c r="E695" s="666"/>
      <c r="F695" s="699">
        <f>'T,P&amp;L,BS'!J192</f>
        <v>31.362747317814669</v>
      </c>
      <c r="G695" s="666"/>
      <c r="H695" s="699">
        <f>'T,P&amp;L,BS'!J262</f>
        <v>45.671623087392966</v>
      </c>
      <c r="I695" s="666"/>
      <c r="J695" s="699">
        <f>'T,P&amp;L,BS'!J338</f>
        <v>46.035466134763844</v>
      </c>
      <c r="K695" s="666"/>
      <c r="L695" s="743">
        <f>'T,P&amp;L,BS'!J407</f>
        <v>63.192623908687686</v>
      </c>
      <c r="M695" s="19"/>
      <c r="N695" s="666"/>
      <c r="O695" s="666"/>
      <c r="P695" s="666"/>
      <c r="Q695" s="741"/>
      <c r="S695" s="120"/>
      <c r="T695" s="814"/>
    </row>
    <row r="696" spans="1:20" s="335" customFormat="1" ht="20">
      <c r="A696" s="665"/>
      <c r="B696" s="509"/>
      <c r="C696" s="508"/>
      <c r="D696" s="666"/>
      <c r="E696" s="666"/>
      <c r="F696" s="666"/>
      <c r="G696" s="666"/>
      <c r="H696" s="666"/>
      <c r="I696" s="666"/>
      <c r="J696" s="666"/>
      <c r="K696" s="666"/>
      <c r="L696" s="740"/>
      <c r="M696" s="497"/>
      <c r="N696" s="666"/>
      <c r="O696" s="666"/>
      <c r="P696" s="666"/>
      <c r="S696" s="655"/>
      <c r="T696" s="655"/>
    </row>
    <row r="697" spans="1:20" ht="20">
      <c r="A697" s="391"/>
      <c r="B697" s="794" t="s">
        <v>363</v>
      </c>
      <c r="C697" s="795" t="s">
        <v>364</v>
      </c>
      <c r="D697" s="699">
        <f>'T,P&amp;L,BS'!J123</f>
        <v>9.0237501740424726</v>
      </c>
      <c r="E697" s="666"/>
      <c r="F697" s="699">
        <f>'T,P&amp;L,BS'!J195</f>
        <v>31.362747317814669</v>
      </c>
      <c r="G697" s="666"/>
      <c r="H697" s="699">
        <f>'T,P&amp;L,BS'!J265</f>
        <v>45.671623087392966</v>
      </c>
      <c r="I697" s="666"/>
      <c r="J697" s="699">
        <f>'T,P&amp;L,BS'!J341</f>
        <v>46.035466134763844</v>
      </c>
      <c r="K697" s="666"/>
      <c r="L697" s="743">
        <f>'T,P&amp;L,BS'!J410</f>
        <v>63.192623908687686</v>
      </c>
      <c r="M697" s="19"/>
      <c r="N697" s="666"/>
      <c r="O697" s="666"/>
      <c r="P697" s="666"/>
      <c r="Q697" s="335"/>
      <c r="S697" s="4"/>
      <c r="T697" s="4"/>
    </row>
    <row r="698" spans="1:20" s="335" customFormat="1" ht="20">
      <c r="A698" s="665"/>
      <c r="B698" s="509"/>
      <c r="C698" s="508"/>
      <c r="D698" s="666"/>
      <c r="E698" s="666"/>
      <c r="F698" s="666"/>
      <c r="G698" s="666"/>
      <c r="H698" s="666"/>
      <c r="I698" s="666"/>
      <c r="J698" s="666"/>
      <c r="K698" s="666"/>
      <c r="L698" s="740"/>
      <c r="M698" s="497"/>
      <c r="N698" s="666"/>
      <c r="O698" s="666"/>
      <c r="P698" s="666"/>
      <c r="S698" s="741"/>
      <c r="T698" s="818"/>
    </row>
    <row r="699" spans="1:20" ht="20">
      <c r="A699" s="391"/>
      <c r="B699" s="796" t="s">
        <v>365</v>
      </c>
      <c r="C699" s="795"/>
      <c r="D699" s="699">
        <f>'T,P&amp;L,BS'!J126</f>
        <v>3.998914255134757E-2</v>
      </c>
      <c r="E699" s="666"/>
      <c r="F699" s="699">
        <f>'T,P&amp;L,BS'!J198</f>
        <v>1.6003768008875926E-2</v>
      </c>
      <c r="G699" s="666"/>
      <c r="H699" s="699">
        <f>'T,P&amp;L,BS'!J268</f>
        <v>1.3445539504948846E-2</v>
      </c>
      <c r="I699" s="666"/>
      <c r="J699" s="699">
        <f>'T,P&amp;L,BS'!J344</f>
        <v>1.5106042995876177E-2</v>
      </c>
      <c r="K699" s="666"/>
      <c r="L699" s="743">
        <f>'T,P&amp;L,BS'!J413</f>
        <v>1.2046707579046325E-2</v>
      </c>
      <c r="M699" s="19"/>
      <c r="N699" s="666"/>
      <c r="O699" s="666"/>
      <c r="P699" s="666"/>
      <c r="Q699" s="335"/>
    </row>
    <row r="700" spans="1:20" s="335" customFormat="1" ht="20">
      <c r="A700" s="665"/>
      <c r="B700" s="509"/>
      <c r="C700" s="508"/>
      <c r="D700" s="666"/>
      <c r="E700" s="666"/>
      <c r="F700" s="666"/>
      <c r="G700" s="666"/>
      <c r="H700" s="666"/>
      <c r="I700" s="666"/>
      <c r="J700" s="666"/>
      <c r="K700" s="666"/>
      <c r="L700" s="740"/>
      <c r="M700" s="497"/>
      <c r="N700" s="666"/>
      <c r="O700" s="666"/>
      <c r="P700" s="666"/>
    </row>
    <row r="701" spans="1:20" ht="20">
      <c r="A701" s="391"/>
      <c r="B701" s="796" t="s">
        <v>366</v>
      </c>
      <c r="C701" s="795"/>
      <c r="D701" s="699">
        <f>'T,P&amp;L,BS'!J128</f>
        <v>1.4803077288261692</v>
      </c>
      <c r="E701" s="666"/>
      <c r="F701" s="699">
        <f>'T,P&amp;L,BS'!J200</f>
        <v>1.1716840955863417</v>
      </c>
      <c r="G701" s="666"/>
      <c r="H701" s="699">
        <f>'T,P&amp;L,BS'!J270</f>
        <v>0.76437553680297377</v>
      </c>
      <c r="I701" s="666"/>
      <c r="J701" s="699">
        <f>'T,P&amp;L,BS'!J346</f>
        <v>0.44776913682449965</v>
      </c>
      <c r="K701" s="666"/>
      <c r="L701" s="743">
        <f>'T,P&amp;L,BS'!J415</f>
        <v>0.14759864410663806</v>
      </c>
      <c r="M701" s="19"/>
      <c r="N701" s="666"/>
      <c r="O701" s="666"/>
      <c r="P701" s="666"/>
      <c r="Q701" s="335"/>
    </row>
    <row r="702" spans="1:20" ht="20">
      <c r="A702" s="391"/>
      <c r="B702" s="507"/>
      <c r="C702" s="508"/>
      <c r="D702" s="779"/>
      <c r="E702" s="666"/>
      <c r="F702" s="779"/>
      <c r="G702" s="666"/>
      <c r="H702" s="779"/>
      <c r="I702" s="666"/>
      <c r="J702" s="779"/>
      <c r="K702" s="666"/>
      <c r="L702" s="742"/>
      <c r="M702" s="19"/>
      <c r="N702" s="666"/>
      <c r="O702" s="666"/>
      <c r="P702" s="666"/>
      <c r="Q702" s="335"/>
    </row>
    <row r="703" spans="1:20" ht="20">
      <c r="A703" s="391"/>
      <c r="B703" s="797" t="s">
        <v>367</v>
      </c>
      <c r="C703" s="798"/>
      <c r="D703" s="779"/>
      <c r="E703" s="666"/>
      <c r="F703" s="779"/>
      <c r="G703" s="666"/>
      <c r="H703" s="779"/>
      <c r="I703" s="666"/>
      <c r="J703" s="779"/>
      <c r="K703" s="666"/>
      <c r="L703" s="742"/>
      <c r="M703" s="19"/>
      <c r="N703" s="666"/>
      <c r="O703" s="666"/>
      <c r="P703" s="666"/>
      <c r="Q703" s="335"/>
    </row>
    <row r="704" spans="1:20" ht="20">
      <c r="A704" s="391"/>
      <c r="B704" s="799"/>
      <c r="C704" s="800"/>
      <c r="D704" s="779"/>
      <c r="E704" s="666"/>
      <c r="F704" s="779"/>
      <c r="G704" s="666"/>
      <c r="H704" s="779"/>
      <c r="I704" s="666"/>
      <c r="J704" s="779"/>
      <c r="K704" s="666"/>
      <c r="L704" s="742"/>
      <c r="M704" s="19"/>
      <c r="N704" s="666"/>
      <c r="O704" s="666"/>
      <c r="P704" s="666"/>
      <c r="Q704" s="335"/>
    </row>
    <row r="705" spans="1:25" ht="20">
      <c r="A705" s="391"/>
      <c r="B705" s="574" t="s">
        <v>368</v>
      </c>
      <c r="C705" s="800"/>
      <c r="D705" s="699">
        <f>'T,P&amp;L,BS'!J112</f>
        <v>26.826853793293431</v>
      </c>
      <c r="E705" s="666"/>
      <c r="F705" s="699">
        <f>'T,P&amp;L,BS'!J184</f>
        <v>21.967176530168338</v>
      </c>
      <c r="G705" s="666"/>
      <c r="H705" s="699">
        <f>'T,P&amp;L,BS'!J254</f>
        <v>21.893302947743269</v>
      </c>
      <c r="I705" s="666"/>
      <c r="J705" s="699">
        <f>'T,P&amp;L,BS'!J330</f>
        <v>21.691071348612073</v>
      </c>
      <c r="K705" s="666"/>
      <c r="L705" s="743">
        <f>'T,P&amp;L,BS'!J399</f>
        <v>21.662829604187898</v>
      </c>
      <c r="M705" s="19"/>
      <c r="N705" s="666"/>
      <c r="O705" s="666"/>
      <c r="P705" s="666"/>
      <c r="Q705" s="335"/>
    </row>
    <row r="706" spans="1:25" ht="20">
      <c r="A706" s="391"/>
      <c r="B706" s="507"/>
      <c r="C706" s="508"/>
      <c r="D706" s="779"/>
      <c r="E706" s="666"/>
      <c r="F706" s="779"/>
      <c r="G706" s="666"/>
      <c r="H706" s="779"/>
      <c r="I706" s="666"/>
      <c r="J706" s="779"/>
      <c r="K706" s="666"/>
      <c r="L706" s="742"/>
      <c r="M706" s="19"/>
      <c r="N706" s="666"/>
      <c r="O706" s="666"/>
      <c r="P706" s="666"/>
      <c r="Q706" s="335"/>
    </row>
    <row r="707" spans="1:25" ht="20">
      <c r="A707" s="391"/>
      <c r="B707" s="797" t="s">
        <v>369</v>
      </c>
      <c r="C707" s="798"/>
      <c r="D707" s="779"/>
      <c r="E707" s="666"/>
      <c r="F707" s="779"/>
      <c r="G707" s="666"/>
      <c r="H707" s="779"/>
      <c r="I707" s="666"/>
      <c r="J707" s="779"/>
      <c r="K707" s="666"/>
      <c r="L707" s="742"/>
      <c r="M707" s="118"/>
      <c r="N707" s="666"/>
      <c r="O707" s="666"/>
      <c r="P707" s="666"/>
      <c r="Q707" s="335"/>
    </row>
    <row r="708" spans="1:25" ht="20">
      <c r="A708" s="391"/>
      <c r="B708" s="819"/>
      <c r="C708" s="798"/>
      <c r="D708" s="779"/>
      <c r="E708" s="666"/>
      <c r="F708" s="779"/>
      <c r="G708" s="666"/>
      <c r="H708" s="779"/>
      <c r="I708" s="666"/>
      <c r="J708" s="779"/>
      <c r="K708" s="666"/>
      <c r="L708" s="742"/>
      <c r="M708" s="118"/>
      <c r="N708" s="666"/>
      <c r="O708" s="666"/>
      <c r="P708" s="666"/>
      <c r="Q708" s="335"/>
    </row>
    <row r="709" spans="1:25" ht="20">
      <c r="A709" s="391"/>
      <c r="B709" s="379" t="s">
        <v>370</v>
      </c>
      <c r="C709" s="508"/>
      <c r="D709" s="699">
        <f>'T,P&amp;L,BS'!J115</f>
        <v>0.95484930211708707</v>
      </c>
      <c r="E709" s="666"/>
      <c r="F709" s="699">
        <f>'T,P&amp;L,BS'!J187</f>
        <v>0.35944477922692064</v>
      </c>
      <c r="G709" s="666"/>
      <c r="H709" s="699">
        <f>'T,P&amp;L,BS'!J257</f>
        <v>0.32585120979993887</v>
      </c>
      <c r="I709" s="666"/>
      <c r="J709" s="699">
        <f>'T,P&amp;L,BS'!J333</f>
        <v>0.29843122879358869</v>
      </c>
      <c r="K709" s="666"/>
      <c r="L709" s="743">
        <f>'T,P&amp;L,BS'!J402</f>
        <v>0.27561667819355573</v>
      </c>
      <c r="M709" s="118"/>
      <c r="N709" s="666"/>
      <c r="O709" s="666"/>
      <c r="P709" s="666"/>
      <c r="Q709" s="335"/>
    </row>
    <row r="710" spans="1:25" ht="20">
      <c r="A710" s="391"/>
      <c r="B710" s="341"/>
      <c r="C710" s="508"/>
      <c r="D710" s="779"/>
      <c r="E710" s="666"/>
      <c r="F710" s="779"/>
      <c r="G710" s="666"/>
      <c r="H710" s="779"/>
      <c r="I710" s="666"/>
      <c r="J710" s="779"/>
      <c r="K710" s="666"/>
      <c r="L710" s="742"/>
      <c r="M710" s="118"/>
      <c r="N710" s="666"/>
      <c r="O710" s="666"/>
      <c r="P710" s="666"/>
      <c r="Q710" s="335"/>
    </row>
    <row r="711" spans="1:25" ht="20">
      <c r="A711" s="391"/>
      <c r="B711" s="379" t="s">
        <v>371</v>
      </c>
      <c r="C711" s="508"/>
      <c r="D711" s="699">
        <f>'T,P&amp;L,BS'!J118</f>
        <v>3.7212121212121212</v>
      </c>
      <c r="E711" s="666"/>
      <c r="F711" s="699">
        <f>'T,P&amp;L,BS'!J190</f>
        <v>2.8428537704918035</v>
      </c>
      <c r="G711" s="666"/>
      <c r="H711" s="699">
        <f>'T,P&amp;L,BS'!J260</f>
        <v>2.8428537704918035</v>
      </c>
      <c r="I711" s="666"/>
      <c r="J711" s="699">
        <f>'T,P&amp;L,BS'!J336</f>
        <v>2.8428537704918031</v>
      </c>
      <c r="K711" s="666"/>
      <c r="L711" s="743">
        <f>'T,P&amp;L,BS'!J405</f>
        <v>2.8373763597189692</v>
      </c>
      <c r="M711" s="118"/>
      <c r="N711" s="666"/>
      <c r="O711" s="666"/>
      <c r="P711" s="666"/>
      <c r="Q711" s="335"/>
    </row>
    <row r="712" spans="1:25" ht="20">
      <c r="A712" s="391"/>
      <c r="B712" s="341"/>
      <c r="C712" s="508"/>
      <c r="D712" s="608"/>
      <c r="E712" s="614"/>
      <c r="F712" s="779"/>
      <c r="G712" s="666"/>
      <c r="H712" s="779"/>
      <c r="I712" s="666"/>
      <c r="J712" s="779"/>
      <c r="K712" s="666"/>
      <c r="L712" s="742"/>
      <c r="M712" s="19"/>
      <c r="N712" s="666"/>
      <c r="O712" s="666"/>
      <c r="P712" s="666"/>
      <c r="Q712" s="335"/>
    </row>
    <row r="713" spans="1:25" ht="20">
      <c r="A713" s="391"/>
      <c r="B713" s="820" t="s">
        <v>372</v>
      </c>
      <c r="C713" s="508"/>
      <c r="D713" s="699">
        <f>'T,P&amp;L,BS'!J133</f>
        <v>2.9758795215820162</v>
      </c>
      <c r="E713" s="666"/>
      <c r="F713" s="699">
        <v>50.18</v>
      </c>
      <c r="G713" s="666"/>
      <c r="H713" s="699">
        <v>71.5</v>
      </c>
      <c r="I713" s="666"/>
      <c r="J713" s="699">
        <v>76.25</v>
      </c>
      <c r="K713" s="666"/>
      <c r="L713" s="743">
        <v>77.239999999999995</v>
      </c>
      <c r="M713" s="19"/>
      <c r="N713" s="666"/>
      <c r="O713" s="666"/>
      <c r="P713" s="666"/>
      <c r="Q713" s="335"/>
    </row>
    <row r="714" spans="1:25" ht="15.5">
      <c r="A714" s="391"/>
      <c r="F714" s="118"/>
      <c r="G714" s="741"/>
      <c r="H714" s="118"/>
      <c r="I714" s="741"/>
      <c r="J714" s="118"/>
      <c r="K714" s="741"/>
      <c r="L714" s="738"/>
      <c r="M714" s="19"/>
      <c r="N714" s="741"/>
      <c r="O714" s="741"/>
      <c r="P714" s="741"/>
      <c r="Q714" s="335"/>
      <c r="T714" s="338"/>
      <c r="U714" s="338"/>
    </row>
    <row r="715" spans="1:25" s="337" customFormat="1" ht="20">
      <c r="A715" s="821"/>
      <c r="B715" s="822" t="s">
        <v>373</v>
      </c>
      <c r="C715" s="823"/>
      <c r="D715" s="494"/>
      <c r="E715" s="493"/>
      <c r="F715" s="824"/>
      <c r="G715" s="825"/>
      <c r="H715" s="826"/>
      <c r="I715" s="825"/>
      <c r="J715" s="826"/>
      <c r="K715" s="825"/>
      <c r="L715" s="853"/>
      <c r="M715" s="845"/>
      <c r="N715" s="825"/>
      <c r="O715" s="825"/>
      <c r="P715" s="825"/>
      <c r="Q715" s="869"/>
      <c r="T715" s="870"/>
      <c r="U715" s="870"/>
    </row>
    <row r="716" spans="1:25" ht="20">
      <c r="A716" s="391"/>
      <c r="B716" s="507"/>
      <c r="C716" s="508"/>
      <c r="D716" s="827" t="s">
        <v>374</v>
      </c>
      <c r="E716" s="828"/>
      <c r="F716" s="829" t="s">
        <v>375</v>
      </c>
      <c r="G716" s="759"/>
      <c r="H716" s="290"/>
      <c r="I716" s="759"/>
      <c r="J716" s="290"/>
      <c r="K716" s="759"/>
      <c r="L716" s="769"/>
      <c r="M716" s="19"/>
      <c r="N716" s="759"/>
      <c r="O716" s="759"/>
      <c r="P716" s="759"/>
      <c r="Q716" s="335"/>
      <c r="T716" s="338"/>
      <c r="U716" s="338"/>
    </row>
    <row r="717" spans="1:25" s="335" customFormat="1" ht="8.25" customHeight="1">
      <c r="A717" s="665"/>
      <c r="B717" s="509"/>
      <c r="C717" s="508"/>
      <c r="D717" s="580"/>
      <c r="E717" s="580"/>
      <c r="F717" s="754"/>
      <c r="G717" s="759"/>
      <c r="H717" s="759"/>
      <c r="I717" s="759"/>
      <c r="J717" s="759"/>
      <c r="K717" s="759"/>
      <c r="L717" s="768"/>
      <c r="M717" s="497"/>
      <c r="N717" s="759"/>
      <c r="O717" s="759"/>
      <c r="P717" s="759"/>
      <c r="T717" s="339"/>
      <c r="U717" s="339"/>
    </row>
    <row r="718" spans="1:25" ht="21">
      <c r="A718" s="391"/>
      <c r="B718" s="507"/>
      <c r="C718" s="508"/>
      <c r="D718" s="830">
        <v>1</v>
      </c>
      <c r="E718" s="831"/>
      <c r="F718" s="699">
        <f>D666</f>
        <v>2.6517113333333349</v>
      </c>
      <c r="G718" s="741"/>
      <c r="H718" s="118"/>
      <c r="I718" s="741"/>
      <c r="J718" s="118"/>
      <c r="K718" s="741"/>
      <c r="L718" s="548"/>
      <c r="M718" s="854"/>
      <c r="N718" s="741"/>
      <c r="O718" s="741"/>
      <c r="P718" s="497"/>
      <c r="Q718" s="335"/>
      <c r="T718" s="338"/>
      <c r="U718" s="338"/>
      <c r="X718" s="338"/>
      <c r="Y718" s="338"/>
    </row>
    <row r="719" spans="1:25" s="335" customFormat="1" ht="21">
      <c r="A719" s="665"/>
      <c r="B719" s="509"/>
      <c r="C719" s="508"/>
      <c r="D719" s="832"/>
      <c r="E719" s="831"/>
      <c r="F719" s="666"/>
      <c r="G719" s="741"/>
      <c r="H719" s="741"/>
      <c r="I719" s="741"/>
      <c r="J719" s="741"/>
      <c r="K719" s="741"/>
      <c r="L719" s="855"/>
      <c r="M719" s="856"/>
      <c r="N719" s="741"/>
      <c r="O719" s="741"/>
      <c r="P719" s="497"/>
      <c r="T719" s="339"/>
      <c r="U719" s="339"/>
      <c r="X719" s="339"/>
      <c r="Y719" s="339"/>
    </row>
    <row r="720" spans="1:25" ht="20">
      <c r="A720" s="391"/>
      <c r="B720" s="507"/>
      <c r="C720" s="508"/>
      <c r="D720" s="833">
        <v>2</v>
      </c>
      <c r="E720" s="614"/>
      <c r="F720" s="699">
        <f>F666</f>
        <v>2.231460186491447</v>
      </c>
      <c r="G720" s="741"/>
      <c r="H720" s="118"/>
      <c r="I720" s="741"/>
      <c r="J720" s="118"/>
      <c r="K720" s="741"/>
      <c r="L720" s="738"/>
      <c r="M720" s="854"/>
      <c r="N720" s="741"/>
      <c r="O720" s="741"/>
      <c r="P720" s="741"/>
      <c r="Q720" s="335"/>
      <c r="T720" s="338"/>
      <c r="U720" s="338"/>
      <c r="X720" s="338"/>
      <c r="Y720" s="338"/>
    </row>
    <row r="721" spans="1:25" s="335" customFormat="1" ht="20">
      <c r="A721" s="665"/>
      <c r="B721" s="509"/>
      <c r="C721" s="508"/>
      <c r="D721" s="834"/>
      <c r="E721" s="614"/>
      <c r="F721" s="666"/>
      <c r="G721" s="741"/>
      <c r="H721" s="741"/>
      <c r="I721" s="741"/>
      <c r="J721" s="741"/>
      <c r="K721" s="741"/>
      <c r="L721" s="818"/>
      <c r="M721" s="856"/>
      <c r="N721" s="741"/>
      <c r="O721" s="741"/>
      <c r="P721" s="741"/>
      <c r="T721" s="339"/>
      <c r="U721" s="339"/>
      <c r="X721" s="339"/>
      <c r="Y721" s="339"/>
    </row>
    <row r="722" spans="1:25" ht="20">
      <c r="A722" s="391"/>
      <c r="B722" s="507"/>
      <c r="C722" s="508"/>
      <c r="D722" s="833">
        <v>3</v>
      </c>
      <c r="E722" s="614"/>
      <c r="F722" s="699">
        <f>H666</f>
        <v>2.384431448321978</v>
      </c>
      <c r="G722" s="741"/>
      <c r="H722" s="118"/>
      <c r="I722" s="741"/>
      <c r="J722" s="118"/>
      <c r="K722" s="741"/>
      <c r="L722" s="738"/>
      <c r="M722" s="854"/>
      <c r="N722" s="741"/>
      <c r="O722" s="741"/>
      <c r="P722" s="741"/>
      <c r="Q722" s="335"/>
      <c r="V722" s="338"/>
      <c r="W722" s="338"/>
      <c r="X722" s="338"/>
      <c r="Y722" s="338"/>
    </row>
    <row r="723" spans="1:25" s="335" customFormat="1" ht="20">
      <c r="A723" s="665"/>
      <c r="B723" s="509"/>
      <c r="C723" s="508"/>
      <c r="D723" s="834"/>
      <c r="E723" s="614"/>
      <c r="F723" s="666"/>
      <c r="G723" s="741"/>
      <c r="H723" s="741"/>
      <c r="I723" s="741"/>
      <c r="J723" s="741"/>
      <c r="K723" s="741"/>
      <c r="L723" s="818"/>
      <c r="M723" s="856"/>
      <c r="N723" s="741"/>
      <c r="O723" s="741"/>
      <c r="P723" s="741"/>
      <c r="V723" s="339"/>
      <c r="W723" s="339"/>
      <c r="X723" s="339"/>
      <c r="Y723" s="339"/>
    </row>
    <row r="724" spans="1:25" ht="21">
      <c r="A724" s="835"/>
      <c r="B724" s="507"/>
      <c r="C724" s="508"/>
      <c r="D724" s="830">
        <v>4</v>
      </c>
      <c r="E724" s="831"/>
      <c r="F724" s="699">
        <f>J666</f>
        <v>2.5579297546186774</v>
      </c>
      <c r="G724" s="741"/>
      <c r="H724" s="290"/>
      <c r="I724" s="759"/>
      <c r="J724" s="290"/>
      <c r="K724" s="759"/>
      <c r="L724" s="769"/>
      <c r="M724" s="854"/>
      <c r="N724" s="759"/>
      <c r="O724" s="759"/>
      <c r="P724" s="759"/>
      <c r="Q724" s="335"/>
      <c r="V724" s="338"/>
      <c r="W724" s="338"/>
      <c r="X724" s="338"/>
      <c r="Y724" s="338"/>
    </row>
    <row r="725" spans="1:25" s="335" customFormat="1" ht="21">
      <c r="A725" s="836"/>
      <c r="B725" s="509"/>
      <c r="C725" s="508"/>
      <c r="D725" s="832"/>
      <c r="E725" s="831"/>
      <c r="F725" s="666"/>
      <c r="G725" s="741"/>
      <c r="H725" s="759"/>
      <c r="I725" s="759"/>
      <c r="J725" s="759"/>
      <c r="K725" s="759"/>
      <c r="L725" s="768"/>
      <c r="M725" s="856"/>
      <c r="N725" s="759"/>
      <c r="O725" s="759"/>
      <c r="P725" s="759"/>
      <c r="V725" s="339"/>
      <c r="W725" s="339"/>
      <c r="X725" s="339"/>
      <c r="Y725" s="339"/>
    </row>
    <row r="726" spans="1:25" s="338" customFormat="1" ht="20">
      <c r="A726" s="835"/>
      <c r="B726" s="507"/>
      <c r="C726" s="508"/>
      <c r="D726" s="833">
        <v>5</v>
      </c>
      <c r="E726" s="614"/>
      <c r="F726" s="699">
        <f>L666</f>
        <v>2.7640370938899741</v>
      </c>
      <c r="G726" s="741"/>
      <c r="H726" s="837"/>
      <c r="I726" s="839"/>
      <c r="J726" s="837"/>
      <c r="K726" s="839"/>
      <c r="L726" s="857"/>
      <c r="M726" s="19"/>
      <c r="N726" s="839"/>
      <c r="O726" s="839"/>
      <c r="P726" s="839"/>
      <c r="Q726" s="335"/>
      <c r="R726"/>
      <c r="S726"/>
      <c r="T726"/>
      <c r="U726"/>
      <c r="X726"/>
      <c r="Y726"/>
    </row>
    <row r="727" spans="1:25" s="339" customFormat="1" ht="6.75" customHeight="1">
      <c r="A727" s="836"/>
      <c r="B727" s="509"/>
      <c r="C727" s="508"/>
      <c r="D727" s="838"/>
      <c r="E727" s="614"/>
      <c r="F727" s="666"/>
      <c r="G727" s="741"/>
      <c r="H727" s="839"/>
      <c r="I727" s="839"/>
      <c r="J727" s="839"/>
      <c r="K727" s="839"/>
      <c r="L727" s="858"/>
      <c r="M727" s="497"/>
      <c r="N727" s="839"/>
      <c r="O727" s="839"/>
      <c r="P727" s="839"/>
      <c r="Q727" s="335"/>
      <c r="R727" s="335"/>
      <c r="S727" s="335"/>
      <c r="T727" s="335"/>
      <c r="U727" s="335"/>
      <c r="X727" s="335"/>
      <c r="Y727" s="335"/>
    </row>
    <row r="728" spans="1:25" s="338" customFormat="1" ht="20">
      <c r="A728" s="835"/>
      <c r="B728" s="507"/>
      <c r="C728" s="508"/>
      <c r="D728" s="840" t="s">
        <v>376</v>
      </c>
      <c r="E728" s="754"/>
      <c r="F728" s="753">
        <f>F718+F720+F722+F724+F726/5</f>
        <v>10.378340141543433</v>
      </c>
      <c r="G728" s="759"/>
      <c r="H728" s="290"/>
      <c r="I728" s="759"/>
      <c r="J728" s="290"/>
      <c r="K728" s="759"/>
      <c r="L728" s="769"/>
      <c r="M728" s="19"/>
      <c r="N728" s="759"/>
      <c r="O728" s="759"/>
      <c r="P728" s="759"/>
      <c r="Q728" s="335"/>
      <c r="R728"/>
      <c r="S728"/>
      <c r="T728"/>
      <c r="U728"/>
      <c r="X728"/>
      <c r="Y728"/>
    </row>
    <row r="729" spans="1:25" s="338" customFormat="1" ht="20" hidden="1">
      <c r="A729" s="835"/>
      <c r="B729" s="507"/>
      <c r="C729" s="508"/>
      <c r="D729" s="779"/>
      <c r="E729" s="666"/>
      <c r="F729" s="779"/>
      <c r="G729" s="741"/>
      <c r="H729" s="118"/>
      <c r="I729" s="741"/>
      <c r="J729" s="118"/>
      <c r="K729" s="741"/>
      <c r="L729" s="738"/>
      <c r="M729" s="118"/>
      <c r="N729" s="741"/>
      <c r="O729" s="741"/>
      <c r="P729" s="741"/>
      <c r="Q729" s="335"/>
      <c r="R729"/>
      <c r="S729"/>
      <c r="T729"/>
      <c r="U729"/>
      <c r="V729"/>
      <c r="W729"/>
      <c r="X729"/>
      <c r="Y729"/>
    </row>
    <row r="730" spans="1:25" s="338" customFormat="1" ht="20" hidden="1">
      <c r="A730" s="835"/>
      <c r="B730" s="507"/>
      <c r="C730" s="508"/>
      <c r="D730" s="779"/>
      <c r="E730" s="666"/>
      <c r="F730" s="779"/>
      <c r="G730" s="741"/>
      <c r="H730" s="118"/>
      <c r="I730" s="741"/>
      <c r="J730" s="118"/>
      <c r="K730" s="741"/>
      <c r="L730" s="738"/>
      <c r="M730" s="118"/>
      <c r="N730" s="741"/>
      <c r="O730" s="741"/>
      <c r="P730" s="741"/>
      <c r="Q730" s="335"/>
      <c r="R730"/>
      <c r="S730"/>
      <c r="T730"/>
      <c r="U730"/>
      <c r="V730"/>
      <c r="W730"/>
      <c r="X730"/>
      <c r="Y730"/>
    </row>
    <row r="731" spans="1:25" s="338" customFormat="1" ht="20" hidden="1">
      <c r="A731" s="835"/>
      <c r="B731" s="507"/>
      <c r="C731" s="508"/>
      <c r="D731" s="779"/>
      <c r="E731" s="666"/>
      <c r="F731" s="779"/>
      <c r="G731" s="741"/>
      <c r="H731" s="118"/>
      <c r="I731" s="741"/>
      <c r="J731" s="118"/>
      <c r="K731" s="741"/>
      <c r="L731" s="738"/>
      <c r="M731" s="118"/>
      <c r="N731" s="741"/>
      <c r="O731" s="741"/>
      <c r="P731" s="741"/>
      <c r="Q731" s="335"/>
      <c r="R731"/>
      <c r="S731"/>
      <c r="T731"/>
      <c r="U731"/>
      <c r="V731"/>
      <c r="W731"/>
      <c r="X731"/>
      <c r="Y731"/>
    </row>
    <row r="732" spans="1:25" s="338" customFormat="1" ht="20" hidden="1">
      <c r="A732" s="835"/>
      <c r="B732" s="507"/>
      <c r="C732" s="508"/>
      <c r="D732" s="779"/>
      <c r="E732" s="666"/>
      <c r="F732" s="779"/>
      <c r="G732" s="741"/>
      <c r="H732" s="118"/>
      <c r="I732" s="741"/>
      <c r="J732" s="118"/>
      <c r="K732" s="741"/>
      <c r="L732" s="738"/>
      <c r="M732" s="118"/>
      <c r="N732" s="741"/>
      <c r="O732" s="741"/>
      <c r="P732" s="741"/>
      <c r="Q732" s="335"/>
      <c r="R732"/>
      <c r="S732"/>
      <c r="T732"/>
      <c r="U732"/>
      <c r="V732"/>
      <c r="W732"/>
      <c r="X732"/>
      <c r="Y732"/>
    </row>
    <row r="733" spans="1:25" s="338" customFormat="1" ht="20" hidden="1">
      <c r="A733" s="835"/>
      <c r="B733" s="507"/>
      <c r="C733" s="508"/>
      <c r="D733" s="779"/>
      <c r="E733" s="666"/>
      <c r="F733" s="779"/>
      <c r="G733" s="741"/>
      <c r="H733" s="118"/>
      <c r="I733" s="741"/>
      <c r="J733" s="118"/>
      <c r="K733" s="741"/>
      <c r="L733" s="738"/>
      <c r="M733" s="118"/>
      <c r="N733" s="741"/>
      <c r="O733" s="741"/>
      <c r="P733" s="741"/>
      <c r="Q733" s="335"/>
      <c r="R733"/>
      <c r="S733"/>
      <c r="T733"/>
      <c r="U733"/>
      <c r="V733"/>
      <c r="W733"/>
      <c r="X733"/>
      <c r="Y733"/>
    </row>
    <row r="734" spans="1:25" s="338" customFormat="1" ht="20">
      <c r="A734" s="835"/>
      <c r="B734" s="507"/>
      <c r="C734" s="508"/>
      <c r="D734" s="779"/>
      <c r="E734" s="666"/>
      <c r="F734" s="779"/>
      <c r="G734" s="741"/>
      <c r="H734" s="118"/>
      <c r="I734" s="741"/>
      <c r="J734" s="118"/>
      <c r="K734" s="741"/>
      <c r="L734" s="738"/>
      <c r="M734" s="118"/>
      <c r="N734" s="741"/>
      <c r="O734" s="741"/>
      <c r="P734" s="741"/>
      <c r="Q734" s="335"/>
      <c r="R734"/>
      <c r="S734"/>
      <c r="T734"/>
      <c r="U734"/>
      <c r="V734"/>
      <c r="W734"/>
      <c r="X734"/>
      <c r="Y734"/>
    </row>
    <row r="735" spans="1:25" ht="15.5">
      <c r="A735" s="382"/>
      <c r="B735" s="383"/>
      <c r="C735" s="384"/>
      <c r="D735" s="841"/>
      <c r="E735" s="842"/>
      <c r="F735" s="841"/>
      <c r="G735" s="842"/>
      <c r="H735" s="841"/>
      <c r="I735" s="842"/>
      <c r="J735" s="841"/>
      <c r="K735" s="842"/>
      <c r="L735" s="859"/>
      <c r="N735" s="759"/>
      <c r="O735" s="759"/>
      <c r="P735" s="759"/>
      <c r="Q735" s="335"/>
    </row>
    <row r="736" spans="1:25" ht="15.5">
      <c r="D736" s="290"/>
      <c r="E736" s="759"/>
      <c r="F736" s="290"/>
      <c r="G736" s="759"/>
      <c r="H736" s="290"/>
      <c r="I736" s="759"/>
      <c r="J736" s="290"/>
      <c r="K736" s="759"/>
      <c r="L736" s="290"/>
      <c r="N736" s="759"/>
      <c r="O736" s="759"/>
      <c r="P736" s="759"/>
      <c r="Q736" s="335"/>
    </row>
    <row r="737" spans="1:16" ht="15.5" hidden="1">
      <c r="D737" s="290"/>
      <c r="E737" s="759"/>
      <c r="F737" s="290"/>
      <c r="G737" s="759"/>
      <c r="H737" s="290"/>
      <c r="I737" s="759"/>
      <c r="J737" s="290"/>
      <c r="K737" s="759"/>
      <c r="L737" s="290"/>
      <c r="N737" s="290"/>
      <c r="O737" s="759"/>
      <c r="P737" s="290"/>
    </row>
    <row r="738" spans="1:16" ht="15.5">
      <c r="D738" s="290"/>
      <c r="E738" s="759"/>
      <c r="F738" s="290"/>
      <c r="G738" s="759"/>
      <c r="H738" s="290"/>
      <c r="I738" s="759"/>
      <c r="J738" s="290"/>
      <c r="K738" s="759"/>
      <c r="L738" s="290"/>
      <c r="N738" s="290"/>
      <c r="O738" s="759"/>
      <c r="P738" s="290"/>
    </row>
    <row r="739" spans="1:16" ht="16.5" customHeight="1">
      <c r="D739" s="290"/>
      <c r="E739" s="759"/>
      <c r="F739" s="290"/>
      <c r="G739" s="759"/>
      <c r="H739" s="290"/>
      <c r="I739" s="759"/>
      <c r="J739" s="290"/>
      <c r="K739" s="759"/>
      <c r="L739" s="290"/>
      <c r="N739" s="290"/>
      <c r="O739" s="759"/>
      <c r="P739" s="290"/>
    </row>
    <row r="740" spans="1:16" ht="15.5">
      <c r="A740" s="387"/>
      <c r="B740" s="587"/>
      <c r="C740" s="588"/>
      <c r="D740" s="843"/>
      <c r="E740" s="844"/>
      <c r="F740" s="843"/>
      <c r="G740" s="844"/>
      <c r="H740" s="843"/>
      <c r="I740" s="844"/>
      <c r="J740" s="843"/>
      <c r="K740" s="844"/>
      <c r="L740" s="860"/>
      <c r="N740" s="843"/>
      <c r="O740" s="844"/>
      <c r="P740" s="860"/>
    </row>
    <row r="741" spans="1:16" ht="15.5">
      <c r="A741" s="391"/>
      <c r="B741" s="19"/>
      <c r="C741" s="496"/>
      <c r="D741" s="787"/>
      <c r="E741" s="786"/>
      <c r="F741" s="787"/>
      <c r="G741" s="786"/>
      <c r="H741" s="787"/>
      <c r="I741" s="786"/>
      <c r="J741" s="787"/>
      <c r="K741" s="786"/>
      <c r="L741" s="811"/>
      <c r="N741" s="787"/>
      <c r="O741" s="786"/>
      <c r="P741" s="811"/>
    </row>
    <row r="742" spans="1:16" ht="15.5">
      <c r="A742" s="391"/>
      <c r="B742" s="19"/>
      <c r="C742" s="496"/>
      <c r="D742" s="787"/>
      <c r="E742" s="786"/>
      <c r="F742" s="787"/>
      <c r="G742" s="786"/>
      <c r="H742" s="787"/>
      <c r="I742" s="786"/>
      <c r="J742" s="787"/>
      <c r="K742" s="786"/>
      <c r="L742" s="811"/>
      <c r="N742" s="787"/>
      <c r="O742" s="786"/>
      <c r="P742" s="811"/>
    </row>
    <row r="743" spans="1:16" ht="15.5">
      <c r="A743" s="391"/>
      <c r="B743" s="19"/>
      <c r="C743" s="496"/>
      <c r="D743" s="787"/>
      <c r="E743" s="786"/>
      <c r="F743" s="787"/>
      <c r="G743" s="786"/>
      <c r="H743" s="787"/>
      <c r="I743" s="786"/>
      <c r="J743" s="787"/>
      <c r="K743" s="786"/>
      <c r="L743" s="811"/>
      <c r="N743" s="787"/>
      <c r="O743" s="786"/>
      <c r="P743" s="811"/>
    </row>
    <row r="744" spans="1:16" ht="15.5">
      <c r="A744" s="391"/>
      <c r="B744" s="19"/>
      <c r="C744" s="496"/>
      <c r="D744" s="787"/>
      <c r="E744" s="786"/>
      <c r="F744" s="787"/>
      <c r="G744" s="786"/>
      <c r="H744" s="787"/>
      <c r="I744" s="786"/>
      <c r="J744" s="787"/>
      <c r="K744" s="786"/>
      <c r="L744" s="811"/>
      <c r="N744" s="787"/>
      <c r="O744" s="786"/>
      <c r="P744" s="811"/>
    </row>
    <row r="745" spans="1:16" ht="20">
      <c r="A745" s="821"/>
      <c r="B745" s="590" t="s">
        <v>377</v>
      </c>
      <c r="C745" s="749"/>
      <c r="D745" s="845"/>
      <c r="E745" s="846"/>
      <c r="F745" s="845"/>
      <c r="G745" s="846"/>
      <c r="H745" s="845"/>
      <c r="I745" s="846"/>
      <c r="J745" s="845"/>
      <c r="K745" s="846"/>
      <c r="L745" s="861"/>
      <c r="M745" s="337"/>
      <c r="N745" s="845"/>
      <c r="O745" s="846"/>
      <c r="P745" s="861"/>
    </row>
    <row r="746" spans="1:16" ht="6.75" customHeight="1">
      <c r="A746" s="391"/>
      <c r="B746" s="847"/>
      <c r="C746" s="732"/>
      <c r="D746" s="19"/>
      <c r="E746" s="497"/>
      <c r="F746" s="19"/>
      <c r="G746" s="497"/>
      <c r="H746" s="19"/>
      <c r="I746" s="497"/>
      <c r="J746" s="19"/>
      <c r="K746" s="497"/>
      <c r="L746" s="476"/>
      <c r="N746" s="19"/>
      <c r="O746" s="497"/>
      <c r="P746" s="476"/>
    </row>
    <row r="747" spans="1:16" ht="17.5">
      <c r="A747" s="391"/>
      <c r="B747" s="731"/>
      <c r="C747" s="732"/>
      <c r="D747" s="19"/>
      <c r="E747" s="497"/>
      <c r="F747" s="19"/>
      <c r="G747" s="497"/>
      <c r="H747" s="19"/>
      <c r="I747" s="497"/>
      <c r="J747" s="19"/>
      <c r="K747" s="497"/>
      <c r="L747" s="862" t="s">
        <v>378</v>
      </c>
      <c r="M747" s="19"/>
      <c r="N747" s="19"/>
      <c r="O747" s="497"/>
      <c r="P747" s="862" t="s">
        <v>378</v>
      </c>
    </row>
    <row r="748" spans="1:16" s="335" customFormat="1" ht="5.25" customHeight="1">
      <c r="A748" s="665"/>
      <c r="B748" s="848"/>
      <c r="C748" s="732"/>
      <c r="D748" s="497"/>
      <c r="E748" s="497"/>
      <c r="F748" s="497"/>
      <c r="G748" s="497"/>
      <c r="H748" s="497"/>
      <c r="I748" s="497"/>
      <c r="J748" s="497"/>
      <c r="K748" s="497"/>
      <c r="L748" s="863"/>
      <c r="M748" s="497"/>
      <c r="N748" s="497"/>
      <c r="O748" s="497"/>
      <c r="P748" s="863"/>
    </row>
    <row r="749" spans="1:16" ht="18" customHeight="1">
      <c r="A749" s="391"/>
      <c r="B749" s="731"/>
      <c r="C749" s="732"/>
      <c r="D749" s="849" t="s">
        <v>337</v>
      </c>
      <c r="E749" s="850"/>
      <c r="F749" s="849" t="s">
        <v>338</v>
      </c>
      <c r="G749" s="850"/>
      <c r="H749" s="849" t="s">
        <v>339</v>
      </c>
      <c r="I749" s="850"/>
      <c r="J749" s="849" t="s">
        <v>340</v>
      </c>
      <c r="K749" s="850"/>
      <c r="L749" s="864" t="s">
        <v>341</v>
      </c>
      <c r="M749" s="19"/>
      <c r="N749" s="849" t="s">
        <v>340</v>
      </c>
      <c r="O749" s="850"/>
      <c r="P749" s="864" t="s">
        <v>341</v>
      </c>
    </row>
    <row r="750" spans="1:16" s="335" customFormat="1" ht="6" customHeight="1">
      <c r="A750" s="665"/>
      <c r="B750" s="848"/>
      <c r="C750" s="732"/>
      <c r="D750" s="850"/>
      <c r="E750" s="850"/>
      <c r="F750" s="850"/>
      <c r="G750" s="850"/>
      <c r="H750" s="850"/>
      <c r="I750" s="850"/>
      <c r="J750" s="850"/>
      <c r="K750" s="850"/>
      <c r="L750" s="865"/>
      <c r="M750" s="497"/>
      <c r="N750" s="850"/>
      <c r="O750" s="850"/>
      <c r="P750" s="865"/>
    </row>
    <row r="751" spans="1:16" ht="15.75" customHeight="1">
      <c r="A751" s="391"/>
      <c r="D751" s="515">
        <f ca="1">D622</f>
        <v>2026</v>
      </c>
      <c r="E751" s="516"/>
      <c r="F751" s="515">
        <f ca="1">F622</f>
        <v>2027</v>
      </c>
      <c r="G751" s="516"/>
      <c r="H751" s="515">
        <f ca="1">H622</f>
        <v>2028</v>
      </c>
      <c r="I751" s="516"/>
      <c r="J751" s="515">
        <f ca="1">J622</f>
        <v>2029</v>
      </c>
      <c r="K751" s="516"/>
      <c r="L751" s="866">
        <f ca="1">L622</f>
        <v>2030</v>
      </c>
      <c r="M751" s="19"/>
      <c r="N751" s="515">
        <f ca="1">N622</f>
        <v>2031</v>
      </c>
      <c r="O751" s="516"/>
      <c r="P751" s="866">
        <f ca="1">P622</f>
        <v>2032</v>
      </c>
    </row>
    <row r="752" spans="1:16" ht="15.5">
      <c r="A752" s="391"/>
      <c r="D752" s="4"/>
      <c r="E752" s="655"/>
      <c r="F752" s="4"/>
      <c r="G752" s="655"/>
      <c r="H752" s="4"/>
      <c r="I752" s="655"/>
      <c r="J752" s="4"/>
      <c r="K752" s="655"/>
      <c r="L752" s="867"/>
      <c r="M752" s="19"/>
      <c r="N752" s="4"/>
      <c r="O752" s="655"/>
      <c r="P752" s="867"/>
    </row>
    <row r="753" spans="1:16" ht="20">
      <c r="A753" s="391"/>
      <c r="B753" s="576" t="s">
        <v>379</v>
      </c>
      <c r="C753" s="496"/>
      <c r="D753" s="699">
        <f>L546/12*N7</f>
        <v>12.193333333333333</v>
      </c>
      <c r="E753" s="666"/>
      <c r="F753" s="699">
        <f>L546+L546*-2.5000039995/100</f>
        <v>17.832749268491447</v>
      </c>
      <c r="G753" s="666"/>
      <c r="H753" s="699">
        <f>F753+F753*4.992009/100</f>
        <v>18.722961716921976</v>
      </c>
      <c r="I753" s="666"/>
      <c r="J753" s="699">
        <f>H753+H753*5.89/100</f>
        <v>19.825744162048679</v>
      </c>
      <c r="K753" s="666"/>
      <c r="L753" s="743">
        <f>J753+J753*5.59976/100</f>
        <v>20.935938253337415</v>
      </c>
      <c r="M753" s="19"/>
      <c r="N753" s="699">
        <f>L753+L753*5.89/100</f>
        <v>22.16906501645899</v>
      </c>
      <c r="O753" s="666"/>
      <c r="P753" s="743">
        <f>N753+N753*5.59976/100</f>
        <v>23.410479451624653</v>
      </c>
    </row>
    <row r="754" spans="1:16" ht="20">
      <c r="A754" s="391"/>
      <c r="B754" s="507"/>
      <c r="C754" s="496"/>
      <c r="D754" s="779"/>
      <c r="E754" s="666"/>
      <c r="F754" s="779"/>
      <c r="G754" s="666"/>
      <c r="H754" s="779"/>
      <c r="I754" s="666"/>
      <c r="J754" s="779"/>
      <c r="K754" s="666"/>
      <c r="L754" s="742"/>
      <c r="M754" s="19"/>
      <c r="N754" s="779"/>
      <c r="O754" s="666"/>
      <c r="P754" s="742"/>
    </row>
    <row r="755" spans="1:16" ht="20">
      <c r="A755" s="391"/>
      <c r="B755" s="590" t="s">
        <v>380</v>
      </c>
      <c r="C755" s="615"/>
      <c r="D755" s="779"/>
      <c r="E755" s="666"/>
      <c r="F755" s="851"/>
      <c r="G755" s="667"/>
      <c r="H755" s="851" t="s">
        <v>381</v>
      </c>
      <c r="I755" s="667"/>
      <c r="J755" s="851"/>
      <c r="K755" s="667"/>
      <c r="L755" s="868"/>
      <c r="M755" s="19"/>
      <c r="N755" s="851"/>
      <c r="O755" s="667"/>
      <c r="P755" s="868"/>
    </row>
    <row r="756" spans="1:16" ht="8.25" customHeight="1">
      <c r="A756" s="391"/>
      <c r="B756" s="202"/>
      <c r="C756" s="615"/>
      <c r="D756" s="779"/>
      <c r="E756" s="666"/>
      <c r="F756" s="851"/>
      <c r="G756" s="667"/>
      <c r="H756" s="851"/>
      <c r="I756" s="667"/>
      <c r="J756" s="851"/>
      <c r="K756" s="667"/>
      <c r="L756" s="868"/>
      <c r="M756" s="19"/>
      <c r="N756" s="851"/>
      <c r="O756" s="667"/>
      <c r="P756" s="868"/>
    </row>
    <row r="757" spans="1:16" ht="20">
      <c r="A757" s="391"/>
      <c r="B757" s="852" t="s">
        <v>382</v>
      </c>
      <c r="C757" s="496"/>
      <c r="D757" s="699">
        <f>L550/12*N7</f>
        <v>3.7288000000000001</v>
      </c>
      <c r="E757" s="666"/>
      <c r="F757" s="699">
        <f>L550+L550*2.201/100</f>
        <v>5.7163063320000003</v>
      </c>
      <c r="G757" s="666"/>
      <c r="H757" s="699">
        <f>F757+F757*5/100</f>
        <v>6.0021216486000002</v>
      </c>
      <c r="I757" s="666"/>
      <c r="J757" s="699">
        <f>H757+H757*5/100</f>
        <v>6.3022277310300003</v>
      </c>
      <c r="K757" s="666"/>
      <c r="L757" s="743">
        <f>J757+J757*4.8/100</f>
        <v>6.6047346621194407</v>
      </c>
      <c r="M757" s="19"/>
      <c r="N757" s="699">
        <f>L757+L757*5/100</f>
        <v>6.9349713952254124</v>
      </c>
      <c r="O757" s="666"/>
      <c r="P757" s="743">
        <f>N757+N757*4.8/100</f>
        <v>7.2678500221962326</v>
      </c>
    </row>
    <row r="758" spans="1:16" s="335" customFormat="1" ht="8.25" customHeight="1">
      <c r="A758" s="665"/>
      <c r="B758" s="506"/>
      <c r="C758" s="615"/>
      <c r="D758" s="666"/>
      <c r="E758" s="666"/>
      <c r="F758" s="667"/>
      <c r="G758" s="667"/>
      <c r="H758" s="667"/>
      <c r="I758" s="667"/>
      <c r="J758" s="667"/>
      <c r="K758" s="667"/>
      <c r="L758" s="695"/>
      <c r="M758" s="497"/>
      <c r="N758" s="667"/>
      <c r="O758" s="667"/>
      <c r="P758" s="695"/>
    </row>
    <row r="759" spans="1:16" ht="20">
      <c r="A759" s="391"/>
      <c r="B759" s="576" t="s">
        <v>383</v>
      </c>
      <c r="C759" s="496"/>
      <c r="D759" s="699">
        <f>L582/12*N7</f>
        <v>0.44</v>
      </c>
      <c r="E759" s="666"/>
      <c r="F759" s="699">
        <f>(D759/N7)*12</f>
        <v>0.66</v>
      </c>
      <c r="G759" s="666"/>
      <c r="H759" s="699">
        <f>F759</f>
        <v>0.66</v>
      </c>
      <c r="I759" s="666"/>
      <c r="J759" s="699">
        <f>H759*110/100</f>
        <v>0.72600000000000009</v>
      </c>
      <c r="K759" s="666"/>
      <c r="L759" s="743">
        <f>J759</f>
        <v>0.72600000000000009</v>
      </c>
      <c r="M759" s="19"/>
      <c r="N759" s="699">
        <f>L759*110/100</f>
        <v>0.79860000000000009</v>
      </c>
      <c r="O759" s="666"/>
      <c r="P759" s="743">
        <f>N759</f>
        <v>0.79860000000000009</v>
      </c>
    </row>
    <row r="760" spans="1:16" s="335" customFormat="1" ht="8.25" customHeight="1">
      <c r="A760" s="665"/>
      <c r="B760" s="506"/>
      <c r="C760" s="615"/>
      <c r="D760" s="666"/>
      <c r="E760" s="666"/>
      <c r="F760" s="667"/>
      <c r="G760" s="667"/>
      <c r="H760" s="667"/>
      <c r="I760" s="667"/>
      <c r="J760" s="667"/>
      <c r="K760" s="667"/>
      <c r="L760" s="695"/>
      <c r="M760" s="497"/>
      <c r="N760" s="667"/>
      <c r="O760" s="667"/>
      <c r="P760" s="695"/>
    </row>
    <row r="761" spans="1:16" ht="20">
      <c r="A761" s="391"/>
      <c r="B761" s="576" t="s">
        <v>384</v>
      </c>
      <c r="C761" s="496"/>
      <c r="D761" s="699">
        <f>L572/12*N7</f>
        <v>0.04</v>
      </c>
      <c r="E761" s="666"/>
      <c r="F761" s="699">
        <f>(D761/N7)*12</f>
        <v>0.06</v>
      </c>
      <c r="G761" s="666"/>
      <c r="H761" s="699">
        <f>F761+F761*10/100</f>
        <v>6.6000000000000003E-2</v>
      </c>
      <c r="I761" s="666"/>
      <c r="J761" s="699">
        <f>H761+H761*10/100</f>
        <v>7.2599999999999998E-2</v>
      </c>
      <c r="K761" s="666"/>
      <c r="L761" s="743">
        <f>J761+J761*10/100</f>
        <v>7.986E-2</v>
      </c>
      <c r="M761" s="19"/>
      <c r="N761" s="699">
        <f>L761+L761*10/100</f>
        <v>8.7846000000000007E-2</v>
      </c>
      <c r="O761" s="666"/>
      <c r="P761" s="743">
        <f>N761+N761*10/100</f>
        <v>9.6630600000000011E-2</v>
      </c>
    </row>
    <row r="762" spans="1:16" s="335" customFormat="1" ht="8.25" customHeight="1">
      <c r="A762" s="665"/>
      <c r="B762" s="506"/>
      <c r="C762" s="615"/>
      <c r="D762" s="666"/>
      <c r="E762" s="666"/>
      <c r="F762" s="667"/>
      <c r="G762" s="667"/>
      <c r="H762" s="667"/>
      <c r="I762" s="667"/>
      <c r="J762" s="667"/>
      <c r="K762" s="667"/>
      <c r="L762" s="695"/>
      <c r="M762" s="497"/>
      <c r="N762" s="667"/>
      <c r="O762" s="667"/>
      <c r="P762" s="695"/>
    </row>
    <row r="763" spans="1:16" ht="20">
      <c r="A763" s="391"/>
      <c r="B763" s="576" t="s">
        <v>385</v>
      </c>
      <c r="C763" s="496"/>
      <c r="D763" s="699">
        <f>L552/12*N7</f>
        <v>2.56</v>
      </c>
      <c r="E763" s="666"/>
      <c r="F763" s="699">
        <f>(D763/N7)*12</f>
        <v>3.84</v>
      </c>
      <c r="G763" s="666"/>
      <c r="H763" s="699">
        <f>F763+F763*10/100</f>
        <v>4.2240000000000002</v>
      </c>
      <c r="I763" s="666"/>
      <c r="J763" s="699">
        <f>H763+H763*11/100</f>
        <v>4.6886400000000004</v>
      </c>
      <c r="K763" s="666"/>
      <c r="L763" s="743">
        <f>J763+J763*10/100</f>
        <v>5.1575040000000003</v>
      </c>
      <c r="M763" s="19"/>
      <c r="N763" s="699">
        <f>L763+L763*11/100</f>
        <v>5.7248294399999997</v>
      </c>
      <c r="O763" s="666"/>
      <c r="P763" s="743">
        <f>N763+N763*10/100</f>
        <v>6.2973123839999996</v>
      </c>
    </row>
    <row r="764" spans="1:16" s="335" customFormat="1" ht="8.25" customHeight="1">
      <c r="A764" s="665"/>
      <c r="B764" s="506"/>
      <c r="C764" s="615"/>
      <c r="D764" s="666"/>
      <c r="E764" s="666"/>
      <c r="F764" s="667"/>
      <c r="G764" s="667"/>
      <c r="H764" s="667"/>
      <c r="I764" s="667"/>
      <c r="J764" s="667"/>
      <c r="K764" s="667"/>
      <c r="L764" s="695"/>
      <c r="M764" s="497"/>
      <c r="N764" s="667"/>
      <c r="O764" s="667"/>
      <c r="P764" s="695"/>
    </row>
    <row r="765" spans="1:16" ht="20">
      <c r="A765" s="391"/>
      <c r="B765" s="576" t="s">
        <v>386</v>
      </c>
      <c r="C765" s="496"/>
      <c r="D765" s="699">
        <f>L574/12*N7</f>
        <v>4.7999999999999994E-2</v>
      </c>
      <c r="E765" s="666"/>
      <c r="F765" s="699">
        <f>(D765/N7)*12</f>
        <v>7.1999999999999995E-2</v>
      </c>
      <c r="G765" s="666"/>
      <c r="H765" s="699">
        <f>F765+F765*10/100</f>
        <v>7.9199999999999993E-2</v>
      </c>
      <c r="I765" s="666"/>
      <c r="J765" s="699">
        <f t="shared" ref="J765:J779" si="9">H765+H765*10/100</f>
        <v>8.7119999999999989E-2</v>
      </c>
      <c r="K765" s="666"/>
      <c r="L765" s="743">
        <f>J765+J765*10/100</f>
        <v>9.5831999999999987E-2</v>
      </c>
      <c r="M765" s="19"/>
      <c r="N765" s="699">
        <f t="shared" ref="N765" si="10">L765+L765*10/100</f>
        <v>0.10541519999999999</v>
      </c>
      <c r="O765" s="666"/>
      <c r="P765" s="743">
        <f>N765+N765*10/100</f>
        <v>0.11595671999999999</v>
      </c>
    </row>
    <row r="766" spans="1:16" s="335" customFormat="1" ht="8.25" customHeight="1">
      <c r="A766" s="665"/>
      <c r="B766" s="506"/>
      <c r="C766" s="615"/>
      <c r="D766" s="666"/>
      <c r="E766" s="666"/>
      <c r="F766" s="667"/>
      <c r="G766" s="667"/>
      <c r="H766" s="667"/>
      <c r="I766" s="667"/>
      <c r="J766" s="667"/>
      <c r="K766" s="667"/>
      <c r="L766" s="695"/>
      <c r="M766" s="497"/>
      <c r="N766" s="667"/>
      <c r="O766" s="667"/>
      <c r="P766" s="695"/>
    </row>
    <row r="767" spans="1:16" ht="20">
      <c r="A767" s="391"/>
      <c r="B767" s="576" t="s">
        <v>387</v>
      </c>
      <c r="C767" s="496"/>
      <c r="D767" s="699">
        <f>L578/12*N7</f>
        <v>8.0000000000000002E-3</v>
      </c>
      <c r="E767" s="666"/>
      <c r="F767" s="699">
        <f>(D767/N7)*12</f>
        <v>1.2E-2</v>
      </c>
      <c r="G767" s="666"/>
      <c r="H767" s="699">
        <f>F767+F767*10/100</f>
        <v>1.32E-2</v>
      </c>
      <c r="I767" s="666"/>
      <c r="J767" s="699">
        <f t="shared" si="9"/>
        <v>1.452E-2</v>
      </c>
      <c r="K767" s="666"/>
      <c r="L767" s="743">
        <f>J767+J767*10/100</f>
        <v>1.5972E-2</v>
      </c>
      <c r="M767" s="19"/>
      <c r="N767" s="699">
        <f t="shared" ref="N767" si="11">L767+L767*10/100</f>
        <v>1.75692E-2</v>
      </c>
      <c r="O767" s="666"/>
      <c r="P767" s="743">
        <f>N767+N767*10/100</f>
        <v>1.9326119999999999E-2</v>
      </c>
    </row>
    <row r="768" spans="1:16" s="335" customFormat="1" ht="8.25" customHeight="1">
      <c r="A768" s="665"/>
      <c r="B768" s="506"/>
      <c r="C768" s="615"/>
      <c r="D768" s="666"/>
      <c r="E768" s="666"/>
      <c r="F768" s="667"/>
      <c r="G768" s="667"/>
      <c r="H768" s="667"/>
      <c r="I768" s="667"/>
      <c r="J768" s="667"/>
      <c r="K768" s="667"/>
      <c r="L768" s="695"/>
      <c r="M768" s="497"/>
      <c r="N768" s="667"/>
      <c r="O768" s="667"/>
      <c r="P768" s="695"/>
    </row>
    <row r="769" spans="1:19" ht="20">
      <c r="A769" s="391"/>
      <c r="B769" s="576" t="s">
        <v>388</v>
      </c>
      <c r="C769" s="496"/>
      <c r="D769" s="699">
        <f>L554/12*N7</f>
        <v>8.0000000000000002E-3</v>
      </c>
      <c r="E769" s="666"/>
      <c r="F769" s="699">
        <f>(D769/N7)*12</f>
        <v>1.2E-2</v>
      </c>
      <c r="G769" s="666"/>
      <c r="H769" s="699">
        <f>F769+F769*10/100</f>
        <v>1.32E-2</v>
      </c>
      <c r="I769" s="666"/>
      <c r="J769" s="699">
        <f t="shared" si="9"/>
        <v>1.452E-2</v>
      </c>
      <c r="K769" s="666"/>
      <c r="L769" s="743">
        <f>J769+J769*10/100</f>
        <v>1.5972E-2</v>
      </c>
      <c r="M769" s="19"/>
      <c r="N769" s="699">
        <f t="shared" ref="N769" si="12">L769+L769*10/100</f>
        <v>1.75692E-2</v>
      </c>
      <c r="O769" s="666"/>
      <c r="P769" s="743">
        <f>N769+N769*10/100</f>
        <v>1.9326119999999999E-2</v>
      </c>
    </row>
    <row r="770" spans="1:19" s="335" customFormat="1" ht="8.25" customHeight="1">
      <c r="A770" s="665"/>
      <c r="B770" s="506"/>
      <c r="C770" s="615"/>
      <c r="D770" s="666"/>
      <c r="E770" s="666"/>
      <c r="F770" s="667"/>
      <c r="G770" s="667"/>
      <c r="H770" s="667"/>
      <c r="I770" s="667"/>
      <c r="J770" s="667"/>
      <c r="K770" s="667"/>
      <c r="L770" s="695"/>
      <c r="M770" s="497"/>
      <c r="N770" s="667"/>
      <c r="O770" s="667"/>
      <c r="P770" s="695"/>
    </row>
    <row r="771" spans="1:19" ht="20">
      <c r="A771" s="391"/>
      <c r="B771" s="576" t="s">
        <v>389</v>
      </c>
      <c r="C771" s="496"/>
      <c r="D771" s="699">
        <f>L576/12*N7</f>
        <v>0.08</v>
      </c>
      <c r="E771" s="666"/>
      <c r="F771" s="699">
        <f>(D771/N7)*12</f>
        <v>0.12</v>
      </c>
      <c r="G771" s="666"/>
      <c r="H771" s="699">
        <f>F771+F771*10/100</f>
        <v>0.13200000000000001</v>
      </c>
      <c r="I771" s="666"/>
      <c r="J771" s="699">
        <f t="shared" si="9"/>
        <v>0.1452</v>
      </c>
      <c r="K771" s="666"/>
      <c r="L771" s="743">
        <f>J771+J771*10/100</f>
        <v>0.15972</v>
      </c>
      <c r="M771" s="118"/>
      <c r="N771" s="699">
        <f t="shared" ref="N771" si="13">L771+L771*10/100</f>
        <v>0.17569200000000001</v>
      </c>
      <c r="O771" s="666"/>
      <c r="P771" s="743">
        <f>N771+N771*10/100</f>
        <v>0.19326120000000002</v>
      </c>
    </row>
    <row r="772" spans="1:19" s="335" customFormat="1" ht="8.25" customHeight="1">
      <c r="A772" s="665"/>
      <c r="B772" s="506"/>
      <c r="C772" s="615"/>
      <c r="D772" s="666"/>
      <c r="E772" s="666"/>
      <c r="F772" s="667"/>
      <c r="G772" s="667"/>
      <c r="H772" s="667"/>
      <c r="I772" s="667"/>
      <c r="J772" s="667"/>
      <c r="K772" s="667"/>
      <c r="L772" s="695"/>
      <c r="M772" s="497"/>
      <c r="N772" s="667"/>
      <c r="O772" s="667"/>
      <c r="P772" s="695"/>
    </row>
    <row r="773" spans="1:19" ht="20">
      <c r="A773" s="391"/>
      <c r="B773" s="574" t="s">
        <v>390</v>
      </c>
      <c r="C773" s="871"/>
      <c r="D773" s="699">
        <f>L558/12*N7</f>
        <v>1.2912000000000001</v>
      </c>
      <c r="E773" s="666"/>
      <c r="F773" s="699">
        <f>(D773/N7)*12</f>
        <v>1.9368000000000003</v>
      </c>
      <c r="G773" s="666"/>
      <c r="H773" s="699">
        <f>F773+F773*10/100</f>
        <v>2.1304800000000004</v>
      </c>
      <c r="I773" s="666"/>
      <c r="J773" s="699">
        <f t="shared" si="9"/>
        <v>2.3435280000000005</v>
      </c>
      <c r="K773" s="666"/>
      <c r="L773" s="743">
        <f>J773+J773*10/100</f>
        <v>2.5778808000000004</v>
      </c>
      <c r="M773" s="118"/>
      <c r="N773" s="699">
        <f t="shared" ref="N773" si="14">L773+L773*10/100</f>
        <v>2.8356688800000005</v>
      </c>
      <c r="O773" s="666"/>
      <c r="P773" s="743">
        <f>N773+N773*10/100</f>
        <v>3.1192357680000007</v>
      </c>
    </row>
    <row r="774" spans="1:19" s="335" customFormat="1" ht="8.25" customHeight="1">
      <c r="A774" s="665"/>
      <c r="B774" s="506"/>
      <c r="C774" s="615"/>
      <c r="D774" s="666"/>
      <c r="E774" s="666"/>
      <c r="F774" s="667"/>
      <c r="G774" s="667"/>
      <c r="H774" s="667"/>
      <c r="I774" s="667"/>
      <c r="J774" s="667"/>
      <c r="K774" s="667"/>
      <c r="L774" s="695"/>
      <c r="M774" s="497"/>
      <c r="N774" s="667"/>
      <c r="O774" s="667"/>
      <c r="P774" s="695"/>
    </row>
    <row r="775" spans="1:19" ht="20">
      <c r="A775" s="391"/>
      <c r="B775" s="574" t="s">
        <v>391</v>
      </c>
      <c r="C775" s="871"/>
      <c r="D775" s="699">
        <f>L560/12*N7</f>
        <v>1.2912000000000002E-2</v>
      </c>
      <c r="E775" s="666"/>
      <c r="F775" s="699">
        <f>(D775/N7)*12</f>
        <v>1.9368000000000003E-2</v>
      </c>
      <c r="G775" s="666"/>
      <c r="H775" s="699">
        <f>F775+F775*10/100</f>
        <v>2.1304800000000002E-2</v>
      </c>
      <c r="I775" s="666"/>
      <c r="J775" s="699">
        <f t="shared" si="9"/>
        <v>2.3435280000000003E-2</v>
      </c>
      <c r="K775" s="666"/>
      <c r="L775" s="743">
        <f>J775+J775*10/100</f>
        <v>2.5778808000000004E-2</v>
      </c>
      <c r="M775" s="118"/>
      <c r="N775" s="699">
        <f t="shared" ref="N775" si="15">L775+L775*10/100</f>
        <v>2.8356688800000005E-2</v>
      </c>
      <c r="O775" s="666"/>
      <c r="P775" s="743">
        <f>N775+N775*10/100</f>
        <v>3.1192357680000005E-2</v>
      </c>
    </row>
    <row r="776" spans="1:19" s="335" customFormat="1" ht="8.25" customHeight="1">
      <c r="A776" s="665"/>
      <c r="B776" s="506"/>
      <c r="C776" s="615"/>
      <c r="D776" s="666"/>
      <c r="E776" s="666"/>
      <c r="F776" s="667"/>
      <c r="G776" s="667"/>
      <c r="H776" s="667"/>
      <c r="I776" s="667"/>
      <c r="J776" s="667"/>
      <c r="K776" s="667"/>
      <c r="L776" s="695"/>
      <c r="M776" s="497"/>
      <c r="N776" s="667"/>
      <c r="O776" s="667"/>
      <c r="P776" s="695"/>
    </row>
    <row r="777" spans="1:19" ht="20">
      <c r="A777" s="391"/>
      <c r="B777" s="574" t="s">
        <v>392</v>
      </c>
      <c r="C777" s="871"/>
      <c r="D777" s="699">
        <f>L584/12*N7</f>
        <v>0.04</v>
      </c>
      <c r="E777" s="666"/>
      <c r="F777" s="699">
        <f>(D777/N7)*12*110/100</f>
        <v>6.6000000000000003E-2</v>
      </c>
      <c r="G777" s="666"/>
      <c r="H777" s="699">
        <f>F777+F777*10/100</f>
        <v>7.2599999999999998E-2</v>
      </c>
      <c r="I777" s="666"/>
      <c r="J777" s="699">
        <f t="shared" si="9"/>
        <v>7.986E-2</v>
      </c>
      <c r="K777" s="666"/>
      <c r="L777" s="743">
        <f>J777+J777*10/100</f>
        <v>8.7846000000000007E-2</v>
      </c>
      <c r="M777" s="118"/>
      <c r="N777" s="699">
        <f t="shared" ref="N777" si="16">L777+L777*10/100</f>
        <v>9.6630600000000011E-2</v>
      </c>
      <c r="O777" s="666"/>
      <c r="P777" s="743">
        <f>N777+N777*10/100</f>
        <v>0.10629366000000001</v>
      </c>
    </row>
    <row r="778" spans="1:19" s="335" customFormat="1" ht="8.25" customHeight="1">
      <c r="A778" s="665"/>
      <c r="B778" s="506"/>
      <c r="C778" s="615"/>
      <c r="D778" s="666"/>
      <c r="E778" s="666"/>
      <c r="F778" s="667"/>
      <c r="G778" s="667"/>
      <c r="H778" s="667"/>
      <c r="I778" s="667"/>
      <c r="J778" s="667"/>
      <c r="K778" s="667"/>
      <c r="L778" s="695"/>
      <c r="M778" s="497"/>
      <c r="N778" s="667"/>
      <c r="O778" s="667"/>
      <c r="P778" s="695"/>
    </row>
    <row r="779" spans="1:19" ht="20">
      <c r="A779" s="391"/>
      <c r="B779" s="576" t="s">
        <v>393</v>
      </c>
      <c r="C779" s="496"/>
      <c r="D779" s="699">
        <f>L556/12*N7</f>
        <v>3.2000000000000001E-2</v>
      </c>
      <c r="E779" s="666"/>
      <c r="F779" s="699">
        <f>(D779/N7)*12</f>
        <v>4.8000000000000001E-2</v>
      </c>
      <c r="G779" s="666"/>
      <c r="H779" s="699">
        <f>F779+F779*10/100</f>
        <v>5.28E-2</v>
      </c>
      <c r="I779" s="666"/>
      <c r="J779" s="699">
        <f t="shared" si="9"/>
        <v>5.808E-2</v>
      </c>
      <c r="K779" s="666"/>
      <c r="L779" s="743">
        <f>J779+J779*10/100</f>
        <v>6.3888E-2</v>
      </c>
      <c r="M779" s="118"/>
      <c r="N779" s="699">
        <f t="shared" ref="N779" si="17">L779+L779*10/100</f>
        <v>7.02768E-2</v>
      </c>
      <c r="O779" s="666"/>
      <c r="P779" s="743">
        <f>N779+N779*10/100</f>
        <v>7.7304479999999995E-2</v>
      </c>
    </row>
    <row r="780" spans="1:19" s="335" customFormat="1" ht="8.25" customHeight="1">
      <c r="A780" s="665"/>
      <c r="B780" s="506"/>
      <c r="C780" s="615"/>
      <c r="D780" s="666"/>
      <c r="E780" s="666"/>
      <c r="F780" s="667"/>
      <c r="G780" s="667"/>
      <c r="H780" s="667"/>
      <c r="I780" s="667"/>
      <c r="J780" s="667"/>
      <c r="K780" s="667"/>
      <c r="L780" s="695"/>
      <c r="M780" s="497"/>
      <c r="N780" s="667"/>
      <c r="O780" s="667"/>
      <c r="P780" s="695"/>
    </row>
    <row r="781" spans="1:19" ht="20">
      <c r="A781" s="391"/>
      <c r="B781" s="491" t="s">
        <v>394</v>
      </c>
      <c r="C781" s="496"/>
      <c r="D781" s="753">
        <f>SUM(D757:D779)</f>
        <v>8.2889119999999998</v>
      </c>
      <c r="E781" s="754"/>
      <c r="F781" s="753">
        <f>SUM(F757:F779)</f>
        <v>12.562474332000001</v>
      </c>
      <c r="G781" s="754"/>
      <c r="H781" s="753">
        <f>SUM(H757:H779)</f>
        <v>13.466906448599998</v>
      </c>
      <c r="I781" s="754"/>
      <c r="J781" s="753">
        <f>SUM(J757:J779)</f>
        <v>14.555731011030002</v>
      </c>
      <c r="K781" s="754"/>
      <c r="L781" s="765">
        <f>SUM(L757:L779)</f>
        <v>15.610988270119442</v>
      </c>
      <c r="M781" s="19"/>
      <c r="N781" s="753">
        <f>SUM(N757:N779)</f>
        <v>16.893425404025411</v>
      </c>
      <c r="O781" s="754"/>
      <c r="P781" s="765">
        <f>SUM(P757:P779)</f>
        <v>18.142289431876229</v>
      </c>
    </row>
    <row r="782" spans="1:19" s="335" customFormat="1" ht="20">
      <c r="A782" s="665"/>
      <c r="B782" s="508"/>
      <c r="C782" s="496"/>
      <c r="D782" s="754"/>
      <c r="E782" s="754"/>
      <c r="F782" s="754"/>
      <c r="G782" s="754"/>
      <c r="H782" s="754"/>
      <c r="I782" s="754"/>
      <c r="J782" s="754"/>
      <c r="K782" s="754"/>
      <c r="L782" s="805"/>
      <c r="M782" s="497"/>
      <c r="N782" s="754"/>
      <c r="O782" s="754"/>
      <c r="P782" s="805"/>
    </row>
    <row r="783" spans="1:19" ht="20">
      <c r="A783" s="391"/>
      <c r="B783" s="19"/>
      <c r="C783" s="496"/>
      <c r="D783" s="758"/>
      <c r="E783" s="766"/>
      <c r="F783" s="758"/>
      <c r="G783" s="766"/>
      <c r="H783" s="758"/>
      <c r="I783" s="766"/>
      <c r="J783" s="758"/>
      <c r="K783" s="766"/>
      <c r="L783" s="767"/>
      <c r="M783" s="19"/>
      <c r="N783" s="758"/>
      <c r="O783" s="766"/>
      <c r="P783" s="767"/>
    </row>
    <row r="784" spans="1:19" ht="20">
      <c r="A784" s="391"/>
      <c r="B784" s="590" t="s">
        <v>395</v>
      </c>
      <c r="C784" s="615"/>
      <c r="D784" s="779"/>
      <c r="E784" s="666"/>
      <c r="F784" s="779"/>
      <c r="G784" s="666"/>
      <c r="H784" s="779"/>
      <c r="I784" s="666"/>
      <c r="J784" s="779"/>
      <c r="K784" s="666"/>
      <c r="L784" s="552"/>
      <c r="M784" s="19"/>
      <c r="N784" s="779"/>
      <c r="O784" s="666"/>
      <c r="P784" s="552"/>
      <c r="R784" s="338"/>
      <c r="S784" s="338"/>
    </row>
    <row r="785" spans="1:19" s="335" customFormat="1" ht="8.25" customHeight="1">
      <c r="A785" s="665"/>
      <c r="B785" s="506"/>
      <c r="C785" s="615"/>
      <c r="D785" s="666"/>
      <c r="E785" s="666"/>
      <c r="F785" s="667"/>
      <c r="G785" s="667"/>
      <c r="H785" s="667"/>
      <c r="I785" s="667"/>
      <c r="J785" s="667"/>
      <c r="K785" s="667"/>
      <c r="L785" s="695"/>
      <c r="M785" s="497"/>
      <c r="N785" s="667"/>
      <c r="O785" s="667"/>
      <c r="P785" s="695"/>
    </row>
    <row r="786" spans="1:19" ht="20">
      <c r="A786" s="391"/>
      <c r="B786" s="576" t="s">
        <v>396</v>
      </c>
      <c r="C786" s="496"/>
      <c r="D786" s="699">
        <f>L570/12*N7</f>
        <v>7.1999999999999995E-2</v>
      </c>
      <c r="E786" s="666"/>
      <c r="F786" s="699">
        <f>(D786/N7)*12</f>
        <v>0.10799999999999998</v>
      </c>
      <c r="G786" s="666"/>
      <c r="H786" s="699">
        <f>F786+F786*10/100</f>
        <v>0.11879999999999999</v>
      </c>
      <c r="I786" s="666"/>
      <c r="J786" s="699">
        <f>H786+H786*10/100</f>
        <v>0.13067999999999999</v>
      </c>
      <c r="K786" s="666"/>
      <c r="L786" s="743">
        <f>J786+J786*10/100</f>
        <v>0.14374799999999999</v>
      </c>
      <c r="M786" s="854"/>
      <c r="N786" s="699">
        <f>L786+L786*10/100</f>
        <v>0.15812279999999998</v>
      </c>
      <c r="O786" s="666"/>
      <c r="P786" s="743">
        <f>N786+N786*10/100</f>
        <v>0.17393507999999996</v>
      </c>
      <c r="Q786" s="338"/>
      <c r="R786" s="338"/>
      <c r="S786" s="338"/>
    </row>
    <row r="787" spans="1:19" s="335" customFormat="1" ht="8.25" customHeight="1">
      <c r="A787" s="665"/>
      <c r="B787" s="506"/>
      <c r="C787" s="615"/>
      <c r="D787" s="666"/>
      <c r="E787" s="666"/>
      <c r="F787" s="667"/>
      <c r="G787" s="667"/>
      <c r="H787" s="667"/>
      <c r="I787" s="667"/>
      <c r="J787" s="667"/>
      <c r="K787" s="667"/>
      <c r="L787" s="695"/>
      <c r="M787" s="497"/>
      <c r="N787" s="667"/>
      <c r="O787" s="667"/>
      <c r="P787" s="695"/>
    </row>
    <row r="788" spans="1:19" ht="20">
      <c r="A788" s="391"/>
      <c r="B788" s="576" t="s">
        <v>397</v>
      </c>
      <c r="C788" s="496"/>
      <c r="D788" s="699">
        <f>L411*12/100000/12*N7</f>
        <v>0.52066666666666672</v>
      </c>
      <c r="E788" s="666"/>
      <c r="F788" s="699">
        <f>F647</f>
        <v>0.72893333333333343</v>
      </c>
      <c r="G788" s="666"/>
      <c r="H788" s="699">
        <f>H647</f>
        <v>0.65603999999999996</v>
      </c>
      <c r="I788" s="666"/>
      <c r="J788" s="699">
        <f>J647</f>
        <v>0.59043599999999996</v>
      </c>
      <c r="K788" s="666"/>
      <c r="L788" s="743">
        <f>L647</f>
        <v>0.53139239999999999</v>
      </c>
      <c r="M788" s="854"/>
      <c r="N788" s="699">
        <f>N647</f>
        <v>0.51241410000000009</v>
      </c>
      <c r="O788" s="666"/>
      <c r="P788" s="743">
        <f>P647</f>
        <v>0.51241410000000009</v>
      </c>
      <c r="Q788" s="338"/>
      <c r="R788" s="338"/>
      <c r="S788" s="338"/>
    </row>
    <row r="789" spans="1:19" s="335" customFormat="1" ht="8.25" customHeight="1">
      <c r="A789" s="665"/>
      <c r="B789" s="506"/>
      <c r="C789" s="615"/>
      <c r="D789" s="666"/>
      <c r="E789" s="666"/>
      <c r="F789" s="667"/>
      <c r="G789" s="667"/>
      <c r="H789" s="667"/>
      <c r="I789" s="667"/>
      <c r="J789" s="667"/>
      <c r="K789" s="667"/>
      <c r="L789" s="695"/>
      <c r="M789" s="497"/>
      <c r="N789" s="667"/>
      <c r="O789" s="667"/>
      <c r="P789" s="695"/>
    </row>
    <row r="790" spans="1:19" ht="20">
      <c r="A790" s="835"/>
      <c r="B790" s="576" t="s">
        <v>398</v>
      </c>
      <c r="C790" s="496"/>
      <c r="D790" s="699">
        <f>D820</f>
        <v>0.39035500000000001</v>
      </c>
      <c r="E790" s="766"/>
      <c r="F790" s="699">
        <f>F820</f>
        <v>0.45227437500000006</v>
      </c>
      <c r="G790" s="766"/>
      <c r="H790" s="699">
        <f>H820</f>
        <v>0.31901625000000006</v>
      </c>
      <c r="I790" s="766"/>
      <c r="J790" s="699">
        <f>J820</f>
        <v>0.18575812500000005</v>
      </c>
      <c r="K790" s="766"/>
      <c r="L790" s="699">
        <f>L820</f>
        <v>5.2500000000000047E-2</v>
      </c>
      <c r="M790" s="854"/>
      <c r="N790" s="699">
        <f>N820</f>
        <v>-8.0758125000000014E-2</v>
      </c>
      <c r="O790" s="766"/>
      <c r="P790" s="699">
        <f>P820</f>
        <v>-0.21401625000000002</v>
      </c>
      <c r="Q790" s="338"/>
    </row>
    <row r="791" spans="1:19" s="335" customFormat="1" ht="8.25" customHeight="1">
      <c r="A791" s="665"/>
      <c r="B791" s="506"/>
      <c r="C791" s="615"/>
      <c r="D791" s="666"/>
      <c r="E791" s="666"/>
      <c r="F791" s="667"/>
      <c r="G791" s="667"/>
      <c r="H791" s="667"/>
      <c r="I791" s="667"/>
      <c r="J791" s="667"/>
      <c r="K791" s="667"/>
      <c r="L791" s="695"/>
      <c r="M791" s="497"/>
      <c r="N791" s="667"/>
      <c r="O791" s="667"/>
      <c r="P791" s="695"/>
    </row>
    <row r="792" spans="1:19" ht="20">
      <c r="A792" s="835"/>
      <c r="B792" s="872" t="s">
        <v>399</v>
      </c>
      <c r="C792" s="615"/>
      <c r="D792" s="753">
        <f>SUM(D786:D790)</f>
        <v>0.98302166666666668</v>
      </c>
      <c r="E792" s="754"/>
      <c r="F792" s="753">
        <f>SUM(F786:F790)</f>
        <v>1.2892077083333335</v>
      </c>
      <c r="G792" s="754"/>
      <c r="H792" s="753">
        <f>SUM(H786:H790)</f>
        <v>1.09385625</v>
      </c>
      <c r="I792" s="754"/>
      <c r="J792" s="753">
        <f>SUM(J786:J790)</f>
        <v>0.90687412500000009</v>
      </c>
      <c r="K792" s="754"/>
      <c r="L792" s="765">
        <f>SUM(L786:L790)</f>
        <v>0.72764040000000008</v>
      </c>
      <c r="M792" s="19"/>
      <c r="N792" s="753">
        <f>SUM(N786:N790)</f>
        <v>0.58977877500000009</v>
      </c>
      <c r="O792" s="754"/>
      <c r="P792" s="765">
        <f>SUM(P786:P790)</f>
        <v>0.4723329300000001</v>
      </c>
    </row>
    <row r="793" spans="1:19" s="335" customFormat="1" ht="8.25" customHeight="1">
      <c r="A793" s="665"/>
      <c r="B793" s="625"/>
      <c r="C793" s="615"/>
      <c r="D793" s="666"/>
      <c r="E793" s="666"/>
      <c r="F793" s="667"/>
      <c r="G793" s="667"/>
      <c r="H793" s="667"/>
      <c r="I793" s="667"/>
      <c r="J793" s="667"/>
      <c r="K793" s="667"/>
      <c r="L793" s="695"/>
      <c r="M793" s="497"/>
      <c r="N793" s="667"/>
      <c r="O793" s="667"/>
      <c r="P793" s="695"/>
    </row>
    <row r="794" spans="1:19" ht="20">
      <c r="A794" s="835"/>
      <c r="B794" s="873" t="s">
        <v>400</v>
      </c>
      <c r="C794" s="496"/>
      <c r="D794" s="777">
        <f>D753-(D781+D792)</f>
        <v>2.9213996666666677</v>
      </c>
      <c r="E794" s="744"/>
      <c r="F794" s="777">
        <f>F753-(F781+F792)-F649</f>
        <v>3.881067228158114</v>
      </c>
      <c r="G794" s="744"/>
      <c r="H794" s="777">
        <f>H753-(H781+H792)-H649</f>
        <v>4.0621990183219783</v>
      </c>
      <c r="I794" s="744"/>
      <c r="J794" s="777">
        <f>J753-(J781+J792)-J649</f>
        <v>4.2631390260186777</v>
      </c>
      <c r="K794" s="744"/>
      <c r="L794" s="739">
        <f>L753-(L781+L792)-L649</f>
        <v>4.4973095832179748</v>
      </c>
      <c r="M794" s="118"/>
      <c r="N794" s="777">
        <f>N753-(N781+N792)-N649</f>
        <v>4.5858608374335805</v>
      </c>
      <c r="O794" s="744"/>
      <c r="P794" s="739">
        <f>P753-(P781+P792)-P649</f>
        <v>4.695857089748424</v>
      </c>
    </row>
    <row r="795" spans="1:19" ht="20">
      <c r="A795" s="391"/>
      <c r="B795" s="492"/>
      <c r="C795" s="496"/>
      <c r="D795" s="779"/>
      <c r="E795" s="666"/>
      <c r="F795" s="779"/>
      <c r="G795" s="666"/>
      <c r="H795" s="779"/>
      <c r="I795" s="666"/>
      <c r="J795" s="779"/>
      <c r="K795" s="666"/>
      <c r="L795" s="742"/>
      <c r="M795" s="656"/>
      <c r="N795" s="779"/>
      <c r="O795" s="666"/>
      <c r="P795" s="742"/>
    </row>
    <row r="796" spans="1:19" ht="20">
      <c r="A796" s="391"/>
      <c r="B796" s="873" t="s">
        <v>401</v>
      </c>
      <c r="C796" s="496"/>
      <c r="D796" s="753">
        <f>D794-D795*100000</f>
        <v>2.9213996666666677</v>
      </c>
      <c r="E796" s="754"/>
      <c r="F796" s="753">
        <f>F794-F795</f>
        <v>3.881067228158114</v>
      </c>
      <c r="G796" s="754"/>
      <c r="H796" s="753">
        <f>H794-H795</f>
        <v>4.0621990183219783</v>
      </c>
      <c r="I796" s="754"/>
      <c r="J796" s="753">
        <f>J794-J795</f>
        <v>4.2631390260186777</v>
      </c>
      <c r="K796" s="754"/>
      <c r="L796" s="765">
        <f>L794-L795</f>
        <v>4.4973095832179748</v>
      </c>
      <c r="M796" s="118"/>
      <c r="N796" s="753">
        <f>N794-N795</f>
        <v>4.5858608374335805</v>
      </c>
      <c r="O796" s="754"/>
      <c r="P796" s="765">
        <f>P794-P795</f>
        <v>4.695857089748424</v>
      </c>
    </row>
    <row r="797" spans="1:19" s="335" customFormat="1" ht="20" hidden="1">
      <c r="A797" s="665"/>
      <c r="B797" s="873"/>
      <c r="C797" s="496"/>
      <c r="D797" s="754"/>
      <c r="E797" s="754"/>
      <c r="F797" s="754"/>
      <c r="G797" s="754"/>
      <c r="H797" s="754"/>
      <c r="I797" s="754"/>
      <c r="J797" s="754"/>
      <c r="K797" s="754"/>
      <c r="L797" s="805"/>
      <c r="M797" s="741"/>
      <c r="N797" s="754"/>
      <c r="O797" s="754"/>
      <c r="P797" s="805"/>
    </row>
    <row r="798" spans="1:19" s="335" customFormat="1" ht="20" hidden="1">
      <c r="A798" s="665"/>
      <c r="B798" s="873"/>
      <c r="C798" s="496"/>
      <c r="D798" s="754"/>
      <c r="E798" s="754"/>
      <c r="F798" s="754"/>
      <c r="G798" s="754"/>
      <c r="H798" s="754"/>
      <c r="I798" s="754"/>
      <c r="J798" s="754"/>
      <c r="K798" s="754"/>
      <c r="L798" s="805"/>
      <c r="M798" s="741"/>
      <c r="N798" s="754"/>
      <c r="O798" s="754"/>
      <c r="P798" s="805"/>
    </row>
    <row r="799" spans="1:19" ht="20">
      <c r="A799" s="391"/>
      <c r="B799" s="493"/>
      <c r="C799" s="496"/>
      <c r="D799" s="758"/>
      <c r="E799" s="766"/>
      <c r="F799" s="758"/>
      <c r="G799" s="766"/>
      <c r="H799" s="758"/>
      <c r="I799" s="766"/>
      <c r="J799" s="758"/>
      <c r="K799" s="766"/>
      <c r="L799" s="767"/>
      <c r="N799" s="758"/>
      <c r="O799" s="766"/>
      <c r="P799" s="767"/>
    </row>
    <row r="800" spans="1:19" ht="20">
      <c r="A800" s="391"/>
      <c r="B800" s="493"/>
      <c r="C800" s="496"/>
      <c r="D800" s="758"/>
      <c r="E800" s="766"/>
      <c r="F800" s="758"/>
      <c r="G800" s="766"/>
      <c r="H800" s="758"/>
      <c r="I800" s="766"/>
      <c r="J800" s="758"/>
      <c r="K800" s="766"/>
      <c r="L800" s="767"/>
      <c r="N800" s="758"/>
      <c r="O800" s="766"/>
      <c r="P800" s="767"/>
    </row>
    <row r="801" spans="1:16" ht="20" hidden="1">
      <c r="A801" s="391"/>
      <c r="B801" s="493"/>
      <c r="C801" s="496"/>
      <c r="D801" s="758"/>
      <c r="E801" s="766"/>
      <c r="F801" s="758"/>
      <c r="G801" s="766"/>
      <c r="H801" s="758"/>
      <c r="I801" s="766"/>
      <c r="J801" s="758"/>
      <c r="K801" s="766"/>
      <c r="L801" s="767"/>
      <c r="N801" s="758"/>
      <c r="O801" s="766"/>
      <c r="P801" s="767"/>
    </row>
    <row r="802" spans="1:16" ht="20">
      <c r="A802" s="382"/>
      <c r="B802" s="874"/>
      <c r="C802" s="585"/>
      <c r="D802" s="875"/>
      <c r="E802" s="876"/>
      <c r="F802" s="875"/>
      <c r="G802" s="876"/>
      <c r="H802" s="875"/>
      <c r="I802" s="876"/>
      <c r="J802" s="875"/>
      <c r="K802" s="876"/>
      <c r="L802" s="883"/>
      <c r="N802" s="875"/>
      <c r="O802" s="876"/>
      <c r="P802" s="883"/>
    </row>
    <row r="803" spans="1:16" ht="20">
      <c r="B803" s="493"/>
      <c r="C803" s="496"/>
      <c r="D803" s="758"/>
      <c r="E803" s="766"/>
      <c r="F803" s="758"/>
      <c r="G803" s="766"/>
      <c r="H803" s="758"/>
      <c r="I803" s="766"/>
      <c r="J803" s="758"/>
      <c r="K803" s="766"/>
      <c r="L803" s="758"/>
      <c r="N803" s="758"/>
      <c r="O803" s="766"/>
      <c r="P803" s="758"/>
    </row>
    <row r="804" spans="1:16" ht="20">
      <c r="B804" s="493"/>
      <c r="C804" s="496"/>
      <c r="D804" s="758"/>
      <c r="E804" s="766"/>
      <c r="F804" s="758"/>
      <c r="G804" s="766"/>
      <c r="H804" s="758"/>
      <c r="I804" s="766"/>
      <c r="J804" s="758"/>
      <c r="K804" s="766"/>
      <c r="L804" s="758"/>
      <c r="N804" s="758"/>
      <c r="O804" s="766"/>
      <c r="P804" s="758"/>
    </row>
    <row r="805" spans="1:16" ht="20">
      <c r="A805" s="387"/>
      <c r="B805" s="877"/>
      <c r="C805" s="588"/>
      <c r="D805" s="878"/>
      <c r="E805" s="879"/>
      <c r="F805" s="878"/>
      <c r="G805" s="879"/>
      <c r="H805" s="878"/>
      <c r="I805" s="879"/>
      <c r="J805" s="878"/>
      <c r="K805" s="879"/>
      <c r="L805" s="884"/>
      <c r="N805" s="878"/>
      <c r="O805" s="879"/>
      <c r="P805" s="884"/>
    </row>
    <row r="806" spans="1:16" ht="20">
      <c r="A806" s="391"/>
      <c r="B806" s="493"/>
      <c r="C806" s="496"/>
      <c r="D806" s="758"/>
      <c r="E806" s="766"/>
      <c r="F806" s="758"/>
      <c r="G806" s="766"/>
      <c r="H806" s="758"/>
      <c r="I806" s="766"/>
      <c r="J806" s="758"/>
      <c r="K806" s="766"/>
      <c r="L806" s="767"/>
      <c r="N806" s="758"/>
      <c r="O806" s="766"/>
      <c r="P806" s="767"/>
    </row>
    <row r="807" spans="1:16" ht="20">
      <c r="A807" s="391"/>
      <c r="B807" s="493"/>
      <c r="C807" s="496"/>
      <c r="D807" s="758"/>
      <c r="E807" s="766"/>
      <c r="F807" s="758"/>
      <c r="G807" s="766"/>
      <c r="H807" s="758"/>
      <c r="I807" s="766"/>
      <c r="J807" s="758"/>
      <c r="K807" s="766"/>
      <c r="L807" s="767"/>
      <c r="N807" s="758"/>
      <c r="O807" s="766"/>
      <c r="P807" s="767"/>
    </row>
    <row r="808" spans="1:16" ht="20">
      <c r="A808" s="391"/>
      <c r="B808" s="493"/>
      <c r="C808" s="496"/>
      <c r="D808" s="758"/>
      <c r="E808" s="766"/>
      <c r="F808" s="758"/>
      <c r="G808" s="766"/>
      <c r="H808" s="758"/>
      <c r="I808" s="766"/>
      <c r="J808" s="758"/>
      <c r="K808" s="766"/>
      <c r="L808" s="767"/>
      <c r="N808" s="758"/>
      <c r="O808" s="766"/>
      <c r="P808" s="767"/>
    </row>
    <row r="809" spans="1:16" ht="20">
      <c r="A809" s="391"/>
      <c r="B809" s="493"/>
      <c r="C809" s="496"/>
      <c r="D809" s="758"/>
      <c r="E809" s="766"/>
      <c r="F809" s="758"/>
      <c r="G809" s="766"/>
      <c r="H809" s="758"/>
      <c r="I809" s="766"/>
      <c r="J809" s="758"/>
      <c r="K809" s="766"/>
      <c r="L809" s="767"/>
      <c r="N809" s="758"/>
      <c r="O809" s="766"/>
      <c r="P809" s="767"/>
    </row>
    <row r="810" spans="1:16" ht="20">
      <c r="A810" s="391"/>
      <c r="B810" s="625" t="s">
        <v>402</v>
      </c>
      <c r="C810" s="615"/>
      <c r="D810" s="849" t="s">
        <v>337</v>
      </c>
      <c r="E810" s="850"/>
      <c r="F810" s="849" t="s">
        <v>338</v>
      </c>
      <c r="G810" s="850"/>
      <c r="H810" s="849" t="s">
        <v>339</v>
      </c>
      <c r="I810" s="850"/>
      <c r="J810" s="849" t="s">
        <v>340</v>
      </c>
      <c r="K810" s="850"/>
      <c r="L810" s="864" t="s">
        <v>341</v>
      </c>
      <c r="N810" s="849" t="s">
        <v>342</v>
      </c>
      <c r="O810" s="850"/>
      <c r="P810" s="864" t="s">
        <v>343</v>
      </c>
    </row>
    <row r="811" spans="1:16" s="335" customFormat="1" ht="8.25" customHeight="1">
      <c r="A811" s="665"/>
      <c r="B811" s="625"/>
      <c r="C811" s="615"/>
      <c r="D811" s="666"/>
      <c r="E811" s="666"/>
      <c r="F811" s="667"/>
      <c r="G811" s="667"/>
      <c r="H811" s="667"/>
      <c r="I811" s="667"/>
      <c r="J811" s="667"/>
      <c r="K811" s="667"/>
      <c r="L811" s="695"/>
      <c r="M811" s="497"/>
      <c r="N811" s="667"/>
      <c r="O811" s="667"/>
      <c r="P811" s="695"/>
    </row>
    <row r="812" spans="1:16" ht="20">
      <c r="A812" s="391"/>
      <c r="B812" s="492"/>
      <c r="C812" s="496"/>
      <c r="D812" s="579">
        <f ca="1">D751</f>
        <v>2026</v>
      </c>
      <c r="E812" s="580"/>
      <c r="F812" s="579">
        <f ca="1">F751</f>
        <v>2027</v>
      </c>
      <c r="G812" s="580"/>
      <c r="H812" s="579">
        <f ca="1">H751</f>
        <v>2028</v>
      </c>
      <c r="I812" s="580"/>
      <c r="J812" s="579">
        <f ca="1">J751</f>
        <v>2029</v>
      </c>
      <c r="K812" s="580"/>
      <c r="L812" s="764">
        <f ca="1">L751</f>
        <v>2030</v>
      </c>
      <c r="N812" s="579">
        <f ca="1">N751</f>
        <v>2031</v>
      </c>
      <c r="O812" s="580"/>
      <c r="P812" s="764">
        <f ca="1">P751</f>
        <v>2032</v>
      </c>
    </row>
    <row r="813" spans="1:16" s="335" customFormat="1" ht="8.25" customHeight="1">
      <c r="A813" s="391"/>
      <c r="B813" s="625"/>
      <c r="C813" s="615"/>
      <c r="D813" s="666"/>
      <c r="E813" s="666"/>
      <c r="F813" s="667"/>
      <c r="G813" s="667"/>
      <c r="H813" s="667"/>
      <c r="I813" s="667"/>
      <c r="J813" s="667"/>
      <c r="K813" s="667"/>
      <c r="L813" s="695"/>
      <c r="M813" s="497"/>
      <c r="N813" s="667"/>
      <c r="O813" s="667"/>
      <c r="P813" s="695"/>
    </row>
    <row r="814" spans="1:16" ht="20">
      <c r="A814" s="391"/>
      <c r="B814" s="880" t="s">
        <v>403</v>
      </c>
      <c r="C814" s="496"/>
      <c r="D814" s="699">
        <f>H363/100000</f>
        <v>0.5</v>
      </c>
      <c r="E814" s="666"/>
      <c r="F814" s="699">
        <f>D814</f>
        <v>0.5</v>
      </c>
      <c r="G814" s="666"/>
      <c r="H814" s="699">
        <f>F814</f>
        <v>0.5</v>
      </c>
      <c r="I814" s="666"/>
      <c r="J814" s="699">
        <f>H814</f>
        <v>0.5</v>
      </c>
      <c r="K814" s="666"/>
      <c r="L814" s="743">
        <f>J814</f>
        <v>0.5</v>
      </c>
      <c r="N814" s="699">
        <f>L814</f>
        <v>0.5</v>
      </c>
      <c r="O814" s="666"/>
      <c r="P814" s="743">
        <f>N814</f>
        <v>0.5</v>
      </c>
    </row>
    <row r="815" spans="1:16" s="335" customFormat="1" ht="8.25" customHeight="1">
      <c r="A815" s="665"/>
      <c r="B815" s="625"/>
      <c r="C815" s="615"/>
      <c r="D815" s="666"/>
      <c r="E815" s="666"/>
      <c r="F815" s="667"/>
      <c r="G815" s="667"/>
      <c r="H815" s="667"/>
      <c r="I815" s="667"/>
      <c r="J815" s="667"/>
      <c r="K815" s="667"/>
      <c r="L815" s="695"/>
      <c r="M815" s="497"/>
      <c r="N815" s="667"/>
      <c r="O815" s="667"/>
      <c r="P815" s="695"/>
    </row>
    <row r="816" spans="1:16" ht="18.75" customHeight="1">
      <c r="A816" s="391"/>
      <c r="B816" s="880" t="s">
        <v>404</v>
      </c>
      <c r="C816" s="615"/>
      <c r="D816" s="699">
        <f>H361/N5/12*N7/100000</f>
        <v>0.78100000000000003</v>
      </c>
      <c r="E816" s="666"/>
      <c r="F816" s="699">
        <f>(D818-D816)/4</f>
        <v>1.2691250000000001</v>
      </c>
      <c r="G816" s="666"/>
      <c r="H816" s="699">
        <f>F816</f>
        <v>1.2691250000000001</v>
      </c>
      <c r="I816" s="666"/>
      <c r="J816" s="699">
        <f>H816</f>
        <v>1.2691250000000001</v>
      </c>
      <c r="K816" s="666"/>
      <c r="L816" s="743">
        <f>J816</f>
        <v>1.2691250000000001</v>
      </c>
      <c r="M816" s="19"/>
      <c r="N816" s="699">
        <f>L816</f>
        <v>1.2691250000000001</v>
      </c>
      <c r="O816" s="666"/>
      <c r="P816" s="743">
        <f>N816</f>
        <v>1.2691250000000001</v>
      </c>
    </row>
    <row r="817" spans="1:16" s="335" customFormat="1" ht="8.25" customHeight="1">
      <c r="A817" s="665"/>
      <c r="B817" s="625"/>
      <c r="C817" s="615"/>
      <c r="D817" s="666"/>
      <c r="E817" s="666"/>
      <c r="F817" s="667"/>
      <c r="G817" s="667"/>
      <c r="H817" s="667"/>
      <c r="I817" s="667"/>
      <c r="J817" s="667"/>
      <c r="K817" s="667"/>
      <c r="L817" s="695"/>
      <c r="M817" s="497"/>
      <c r="N817" s="667"/>
      <c r="O817" s="667"/>
      <c r="P817" s="695"/>
    </row>
    <row r="818" spans="1:16" ht="20">
      <c r="A818" s="391"/>
      <c r="B818" s="880" t="s">
        <v>405</v>
      </c>
      <c r="C818" s="496"/>
      <c r="D818" s="699">
        <f>H361/100000</f>
        <v>5.8574999999999999</v>
      </c>
      <c r="E818" s="666"/>
      <c r="F818" s="699">
        <f>D818-D816</f>
        <v>5.0765000000000002</v>
      </c>
      <c r="G818" s="666"/>
      <c r="H818" s="699">
        <f>F818-F816</f>
        <v>3.8073750000000004</v>
      </c>
      <c r="I818" s="666"/>
      <c r="J818" s="699">
        <f>H818-H816</f>
        <v>2.5382500000000006</v>
      </c>
      <c r="K818" s="666"/>
      <c r="L818" s="743">
        <f>J818-J816</f>
        <v>1.2691250000000005</v>
      </c>
      <c r="N818" s="699">
        <f>L818-L816</f>
        <v>0</v>
      </c>
      <c r="O818" s="666"/>
      <c r="P818" s="743">
        <f>N818-N816</f>
        <v>-1.2691250000000001</v>
      </c>
    </row>
    <row r="819" spans="1:16" s="335" customFormat="1" ht="8.25" customHeight="1">
      <c r="A819" s="665"/>
      <c r="B819" s="625"/>
      <c r="C819" s="615"/>
      <c r="D819" s="666"/>
      <c r="E819" s="666"/>
      <c r="F819" s="667"/>
      <c r="G819" s="667"/>
      <c r="H819" s="667"/>
      <c r="I819" s="667"/>
      <c r="J819" s="667"/>
      <c r="K819" s="667"/>
      <c r="L819" s="695"/>
      <c r="M819" s="497"/>
      <c r="N819" s="667"/>
      <c r="O819" s="667"/>
      <c r="P819" s="695"/>
    </row>
    <row r="820" spans="1:16" ht="20">
      <c r="A820" s="391"/>
      <c r="B820" s="880" t="s">
        <v>406</v>
      </c>
      <c r="C820" s="496"/>
      <c r="D820" s="699">
        <f>(D814+D818-D816)*(10.5/100)/12*N7</f>
        <v>0.39035500000000001</v>
      </c>
      <c r="E820" s="666"/>
      <c r="F820" s="699">
        <f>(F814+F818-F816)*10.5/100</f>
        <v>0.45227437500000006</v>
      </c>
      <c r="G820" s="666"/>
      <c r="H820" s="699">
        <f>(H814+H818-H816)*10.5/100</f>
        <v>0.31901625000000006</v>
      </c>
      <c r="I820" s="666"/>
      <c r="J820" s="699">
        <f>(J814+J818-J816)*10.5/100</f>
        <v>0.18575812500000005</v>
      </c>
      <c r="K820" s="666"/>
      <c r="L820" s="743">
        <f>(L814+L818-L816)*10.5/100</f>
        <v>5.2500000000000047E-2</v>
      </c>
      <c r="N820" s="699">
        <f>(N814+N818-N816)*10.5/100</f>
        <v>-8.0758125000000014E-2</v>
      </c>
      <c r="O820" s="666"/>
      <c r="P820" s="743">
        <f>(P814+P818-P816)*10.5/100</f>
        <v>-0.21401625000000002</v>
      </c>
    </row>
    <row r="821" spans="1:16" s="335" customFormat="1" ht="8.25" customHeight="1">
      <c r="A821" s="665"/>
      <c r="B821" s="506"/>
      <c r="C821" s="615"/>
      <c r="D821" s="666"/>
      <c r="E821" s="666"/>
      <c r="F821" s="667"/>
      <c r="G821" s="667"/>
      <c r="H821" s="667"/>
      <c r="I821" s="667"/>
      <c r="J821" s="667"/>
      <c r="K821" s="667"/>
      <c r="L821" s="695"/>
      <c r="M821" s="497"/>
      <c r="N821" s="667"/>
      <c r="O821" s="667"/>
      <c r="P821" s="695"/>
    </row>
    <row r="822" spans="1:16" ht="20">
      <c r="A822" s="391"/>
      <c r="B822" s="881" t="s">
        <v>407</v>
      </c>
      <c r="C822" s="496"/>
      <c r="D822" s="753">
        <f>D818-D816+D814</f>
        <v>5.5765000000000002</v>
      </c>
      <c r="E822" s="754"/>
      <c r="F822" s="753">
        <f>F818-F816+F814</f>
        <v>4.3073750000000004</v>
      </c>
      <c r="G822" s="754"/>
      <c r="H822" s="753">
        <f>H818-H816+H814</f>
        <v>3.0382500000000006</v>
      </c>
      <c r="I822" s="754"/>
      <c r="J822" s="753">
        <f>J818-J816+J814</f>
        <v>1.7691250000000005</v>
      </c>
      <c r="K822" s="754"/>
      <c r="L822" s="765">
        <f>L818-L816+L814</f>
        <v>0.50000000000000044</v>
      </c>
      <c r="N822" s="753">
        <f>N818-N816+N814</f>
        <v>-0.76912500000000006</v>
      </c>
      <c r="O822" s="754"/>
      <c r="P822" s="765">
        <f>P818-P816+P814</f>
        <v>-2.0382500000000001</v>
      </c>
    </row>
    <row r="823" spans="1:16" s="335" customFormat="1" ht="8.25" customHeight="1">
      <c r="A823" s="665"/>
      <c r="B823" s="506"/>
      <c r="C823" s="615"/>
      <c r="D823" s="666"/>
      <c r="E823" s="666"/>
      <c r="F823" s="667"/>
      <c r="G823" s="667"/>
      <c r="H823" s="667"/>
      <c r="I823" s="667"/>
      <c r="J823" s="667"/>
      <c r="K823" s="667"/>
      <c r="L823" s="695"/>
      <c r="M823" s="497"/>
      <c r="N823" s="696"/>
    </row>
    <row r="824" spans="1:16" s="335" customFormat="1" ht="8.25" customHeight="1">
      <c r="A824" s="665"/>
      <c r="B824" s="506"/>
      <c r="C824" s="615"/>
      <c r="D824" s="666"/>
      <c r="E824" s="666"/>
      <c r="F824" s="667"/>
      <c r="G824" s="667"/>
      <c r="H824" s="667"/>
      <c r="I824" s="667"/>
      <c r="J824" s="667"/>
      <c r="K824" s="667"/>
      <c r="L824" s="695"/>
      <c r="M824" s="497"/>
      <c r="N824" s="696"/>
    </row>
    <row r="825" spans="1:16" s="335" customFormat="1" ht="8.25" customHeight="1">
      <c r="A825" s="665"/>
      <c r="B825" s="506"/>
      <c r="C825" s="615"/>
      <c r="D825" s="666"/>
      <c r="E825" s="666"/>
      <c r="F825" s="667"/>
      <c r="G825" s="667"/>
      <c r="H825" s="667"/>
      <c r="I825" s="667"/>
      <c r="J825" s="667"/>
      <c r="K825" s="667"/>
      <c r="L825" s="695"/>
      <c r="M825" s="497"/>
      <c r="N825" s="696"/>
    </row>
    <row r="826" spans="1:16" s="335" customFormat="1" ht="18" customHeight="1">
      <c r="A826" s="665"/>
      <c r="B826" s="506"/>
      <c r="C826" s="615"/>
      <c r="D826" s="666"/>
      <c r="E826" s="666"/>
      <c r="F826" s="667"/>
      <c r="G826" s="667"/>
      <c r="H826" s="667"/>
      <c r="I826" s="667"/>
      <c r="J826" s="667"/>
      <c r="K826" s="667"/>
      <c r="L826" s="695"/>
      <c r="M826" s="497"/>
      <c r="N826" s="696"/>
    </row>
    <row r="827" spans="1:16" s="335" customFormat="1" ht="19.5" customHeight="1">
      <c r="A827" s="665"/>
      <c r="B827" s="506"/>
      <c r="C827" s="615"/>
      <c r="D827" s="666"/>
      <c r="E827" s="666"/>
      <c r="F827" s="667"/>
      <c r="G827" s="667"/>
      <c r="H827" s="667"/>
      <c r="I827" s="667"/>
      <c r="J827" s="667"/>
      <c r="K827" s="667"/>
      <c r="L827" s="695"/>
      <c r="M827" s="497"/>
      <c r="N827" s="696"/>
    </row>
    <row r="828" spans="1:16" s="335" customFormat="1" ht="8.25" customHeight="1">
      <c r="A828" s="665"/>
      <c r="B828" s="506"/>
      <c r="C828" s="615"/>
      <c r="D828" s="666"/>
      <c r="E828" s="666"/>
      <c r="F828" s="667"/>
      <c r="G828" s="667"/>
      <c r="H828" s="667"/>
      <c r="I828" s="667"/>
      <c r="J828" s="667"/>
      <c r="K828" s="667"/>
      <c r="L828" s="695"/>
      <c r="M828" s="497"/>
      <c r="N828" s="696"/>
    </row>
    <row r="829" spans="1:16" s="335" customFormat="1" ht="8.25" customHeight="1">
      <c r="A829" s="665"/>
      <c r="B829" s="506"/>
      <c r="C829" s="615"/>
      <c r="D829" s="666"/>
      <c r="E829" s="666"/>
      <c r="F829" s="667"/>
      <c r="G829" s="667"/>
      <c r="H829" s="667"/>
      <c r="I829" s="667"/>
      <c r="J829" s="667"/>
      <c r="K829" s="667"/>
      <c r="L829" s="695"/>
      <c r="M829" s="497"/>
      <c r="N829" s="696"/>
    </row>
    <row r="830" spans="1:16" s="335" customFormat="1" ht="8.25" customHeight="1">
      <c r="A830" s="665"/>
      <c r="B830" s="506"/>
      <c r="C830" s="615"/>
      <c r="D830" s="666"/>
      <c r="E830" s="666"/>
      <c r="F830" s="667"/>
      <c r="G830" s="667"/>
      <c r="H830" s="667"/>
      <c r="I830" s="667"/>
      <c r="J830" s="667"/>
      <c r="K830" s="667"/>
      <c r="L830" s="695"/>
      <c r="M830" s="497"/>
      <c r="N830" s="696"/>
    </row>
    <row r="831" spans="1:16" ht="20">
      <c r="A831" s="391"/>
      <c r="B831" s="748" t="s">
        <v>408</v>
      </c>
      <c r="C831" s="749"/>
      <c r="D831" s="19"/>
      <c r="E831" s="497"/>
      <c r="F831" s="19"/>
      <c r="G831" s="497"/>
      <c r="H831" s="19"/>
      <c r="I831" s="497"/>
      <c r="J831" s="19"/>
      <c r="K831" s="497"/>
      <c r="L831" s="548"/>
      <c r="P831" s="338"/>
    </row>
    <row r="832" spans="1:16" ht="15.5">
      <c r="A832" s="391"/>
      <c r="B832" s="882"/>
      <c r="C832" s="749"/>
      <c r="D832" s="19"/>
      <c r="E832" s="497"/>
      <c r="F832" s="19"/>
      <c r="G832" s="497"/>
      <c r="H832" s="19"/>
      <c r="I832" s="497"/>
      <c r="J832" s="19"/>
      <c r="K832" s="497"/>
      <c r="L832" s="548"/>
      <c r="P832" s="338"/>
    </row>
    <row r="833" spans="1:16" ht="20">
      <c r="A833" s="885"/>
      <c r="B833" s="886" t="s">
        <v>409</v>
      </c>
      <c r="C833" s="887"/>
      <c r="D833" s="888"/>
      <c r="E833" s="539"/>
      <c r="F833" s="888"/>
      <c r="G833" s="539"/>
      <c r="H833" s="888"/>
      <c r="I833" s="539"/>
      <c r="J833" s="888"/>
      <c r="K833" s="539"/>
      <c r="L833" s="896"/>
      <c r="P833" s="338"/>
    </row>
    <row r="834" spans="1:16" ht="20">
      <c r="A834" s="885"/>
      <c r="B834" s="886" t="s">
        <v>410</v>
      </c>
      <c r="C834" s="887"/>
      <c r="D834" s="888"/>
      <c r="E834" s="539"/>
      <c r="F834" s="888"/>
      <c r="G834" s="539"/>
      <c r="H834" s="888"/>
      <c r="I834" s="539"/>
      <c r="J834" s="888"/>
      <c r="K834" s="539"/>
      <c r="L834" s="896"/>
    </row>
    <row r="835" spans="1:16" ht="20">
      <c r="A835" s="885"/>
      <c r="B835" s="886" t="s">
        <v>411</v>
      </c>
      <c r="C835" s="887"/>
      <c r="D835" s="888"/>
      <c r="E835" s="539"/>
      <c r="F835" s="888"/>
      <c r="G835" s="539"/>
      <c r="H835" s="888"/>
      <c r="I835" s="539"/>
      <c r="J835" s="888"/>
      <c r="K835" s="539"/>
      <c r="L835" s="896"/>
    </row>
    <row r="836" spans="1:16" ht="20">
      <c r="A836" s="885"/>
      <c r="B836" s="886" t="s">
        <v>412</v>
      </c>
      <c r="C836" s="887"/>
      <c r="D836" s="888"/>
      <c r="E836" s="539"/>
      <c r="F836" s="888"/>
      <c r="G836" s="539"/>
      <c r="H836" s="889"/>
      <c r="I836" s="897"/>
      <c r="J836" s="202"/>
      <c r="K836" s="506"/>
      <c r="L836" s="896"/>
    </row>
    <row r="837" spans="1:16" ht="20">
      <c r="A837" s="885"/>
      <c r="B837" s="886" t="s">
        <v>413</v>
      </c>
      <c r="C837" s="887"/>
      <c r="D837" s="888"/>
      <c r="E837" s="539"/>
      <c r="F837" s="888"/>
      <c r="G837" s="539"/>
      <c r="H837" s="889"/>
      <c r="I837" s="897"/>
      <c r="J837" s="202"/>
      <c r="K837" s="506"/>
      <c r="L837" s="896"/>
    </row>
    <row r="838" spans="1:16" ht="20">
      <c r="A838" s="885"/>
      <c r="B838" s="886" t="s">
        <v>414</v>
      </c>
      <c r="C838" s="887"/>
      <c r="D838" s="888"/>
      <c r="E838" s="539"/>
      <c r="F838" s="888"/>
      <c r="G838" s="539"/>
      <c r="H838" s="889"/>
      <c r="I838" s="897"/>
      <c r="J838" s="202"/>
      <c r="K838" s="506"/>
      <c r="L838" s="896"/>
    </row>
    <row r="839" spans="1:16" ht="20">
      <c r="A839" s="885"/>
      <c r="B839" s="886" t="s">
        <v>415</v>
      </c>
      <c r="C839" s="887"/>
      <c r="D839" s="888"/>
      <c r="E839" s="539"/>
      <c r="F839" s="888"/>
      <c r="G839" s="539"/>
      <c r="H839" s="889"/>
      <c r="I839" s="897"/>
      <c r="J839" s="202"/>
      <c r="K839" s="506"/>
      <c r="L839" s="896"/>
    </row>
    <row r="840" spans="1:16" ht="20">
      <c r="A840" s="885"/>
      <c r="B840" s="886" t="s">
        <v>416</v>
      </c>
      <c r="C840" s="887"/>
      <c r="D840" s="888"/>
      <c r="E840" s="539"/>
      <c r="F840" s="888"/>
      <c r="G840" s="539"/>
      <c r="H840" s="888"/>
      <c r="I840" s="539"/>
      <c r="J840" s="888"/>
      <c r="K840" s="539"/>
      <c r="L840" s="896"/>
    </row>
    <row r="841" spans="1:16" ht="20">
      <c r="A841" s="885"/>
      <c r="B841" s="886" t="s">
        <v>417</v>
      </c>
      <c r="C841" s="887"/>
      <c r="D841" s="888"/>
      <c r="E841" s="539"/>
      <c r="F841" s="888"/>
      <c r="G841" s="539"/>
      <c r="H841" s="888"/>
      <c r="I841" s="539"/>
      <c r="J841" s="888"/>
      <c r="K841" s="539"/>
      <c r="L841" s="896"/>
    </row>
    <row r="842" spans="1:16" ht="20">
      <c r="A842" s="885"/>
      <c r="B842" s="886" t="s">
        <v>418</v>
      </c>
      <c r="C842" s="887"/>
      <c r="D842" s="888"/>
      <c r="E842" s="539"/>
      <c r="F842" s="888"/>
      <c r="G842" s="539"/>
      <c r="H842" s="888"/>
      <c r="I842" s="539"/>
      <c r="J842" s="888"/>
      <c r="K842" s="539"/>
      <c r="L842" s="896"/>
    </row>
    <row r="843" spans="1:16" ht="20">
      <c r="A843" s="885"/>
      <c r="B843" s="890" t="s">
        <v>419</v>
      </c>
      <c r="C843" s="508"/>
      <c r="D843" s="507"/>
      <c r="E843" s="509"/>
      <c r="F843" s="507"/>
      <c r="G843" s="509"/>
      <c r="H843" s="507"/>
      <c r="I843" s="509"/>
      <c r="J843" s="507"/>
      <c r="K843" s="509"/>
      <c r="L843" s="552"/>
    </row>
    <row r="844" spans="1:16" ht="20">
      <c r="A844" s="885"/>
      <c r="B844" s="890" t="s">
        <v>420</v>
      </c>
      <c r="C844" s="508"/>
      <c r="D844" s="507"/>
      <c r="E844" s="509"/>
      <c r="F844" s="507"/>
      <c r="G844" s="509"/>
      <c r="H844" s="507"/>
      <c r="I844" s="509"/>
      <c r="J844" s="507"/>
      <c r="K844" s="509"/>
      <c r="L844" s="552"/>
    </row>
    <row r="845" spans="1:16" ht="20">
      <c r="A845" s="391"/>
      <c r="B845" s="891"/>
      <c r="C845" s="508"/>
      <c r="D845" s="507"/>
      <c r="E845" s="509"/>
      <c r="F845" s="507"/>
      <c r="G845" s="509"/>
      <c r="H845" s="507"/>
      <c r="I845" s="509"/>
      <c r="J845" s="507"/>
      <c r="K845" s="509"/>
      <c r="L845" s="552"/>
    </row>
    <row r="846" spans="1:16" ht="20">
      <c r="A846" s="391"/>
      <c r="B846" s="509" t="str">
        <f>H11</f>
        <v>NILESHWAR</v>
      </c>
      <c r="C846" s="508"/>
      <c r="D846" s="509"/>
      <c r="E846" s="509"/>
      <c r="F846" s="509"/>
      <c r="G846" s="509"/>
      <c r="H846" s="509"/>
      <c r="I846" s="509"/>
      <c r="J846" s="509"/>
      <c r="K846" s="509"/>
      <c r="L846" s="646" t="s">
        <v>421</v>
      </c>
      <c r="M846" s="335"/>
    </row>
    <row r="847" spans="1:16" ht="20">
      <c r="A847" s="391"/>
      <c r="B847" s="892">
        <f ca="1">TODAY()-25</f>
        <v>45896</v>
      </c>
      <c r="C847" s="893"/>
      <c r="D847" s="509"/>
      <c r="E847" s="509"/>
      <c r="F847" s="509"/>
      <c r="G847" s="509"/>
      <c r="H847" s="509"/>
      <c r="I847" s="509"/>
      <c r="J847" s="509"/>
      <c r="K847" s="509"/>
      <c r="L847" s="646"/>
      <c r="M847" s="335"/>
    </row>
    <row r="848" spans="1:16" ht="15.5">
      <c r="A848" s="391"/>
      <c r="B848" s="894"/>
      <c r="C848" s="895"/>
      <c r="D848" s="19"/>
      <c r="E848" s="497"/>
      <c r="F848" s="19"/>
      <c r="G848" s="497"/>
      <c r="H848" s="19"/>
      <c r="I848" s="497"/>
      <c r="J848" s="19"/>
      <c r="K848" s="497"/>
      <c r="L848" s="548"/>
    </row>
    <row r="849" spans="1:12">
      <c r="A849" s="391"/>
      <c r="L849" s="476"/>
    </row>
    <row r="850" spans="1:12">
      <c r="A850" s="391"/>
      <c r="L850" s="476"/>
    </row>
    <row r="851" spans="1:12">
      <c r="A851" s="391"/>
      <c r="L851" s="476"/>
    </row>
    <row r="852" spans="1:12">
      <c r="A852" s="391"/>
      <c r="L852" s="476"/>
    </row>
    <row r="853" spans="1:12">
      <c r="A853" s="391"/>
      <c r="L853" s="476"/>
    </row>
    <row r="854" spans="1:12">
      <c r="A854" s="391"/>
      <c r="L854" s="476"/>
    </row>
    <row r="855" spans="1:12">
      <c r="A855" s="391"/>
      <c r="L855" s="476"/>
    </row>
    <row r="856" spans="1:12">
      <c r="A856" s="391"/>
      <c r="L856" s="476"/>
    </row>
    <row r="857" spans="1:12" hidden="1">
      <c r="A857" s="391"/>
      <c r="L857" s="476"/>
    </row>
    <row r="858" spans="1:12" hidden="1">
      <c r="A858" s="391"/>
      <c r="L858" s="476"/>
    </row>
    <row r="859" spans="1:12" hidden="1">
      <c r="A859" s="391"/>
      <c r="L859" s="476"/>
    </row>
    <row r="860" spans="1:12" hidden="1">
      <c r="A860" s="391"/>
      <c r="L860" s="476"/>
    </row>
    <row r="861" spans="1:12">
      <c r="A861" s="391"/>
      <c r="L861" s="476"/>
    </row>
    <row r="862" spans="1:12">
      <c r="A862" s="391"/>
      <c r="L862" s="476"/>
    </row>
    <row r="863" spans="1:12">
      <c r="A863" s="391"/>
      <c r="L863" s="476"/>
    </row>
    <row r="864" spans="1:12">
      <c r="A864" s="391"/>
      <c r="L864" s="476"/>
    </row>
    <row r="865" spans="1:12">
      <c r="A865" s="391"/>
      <c r="L865" s="476"/>
    </row>
    <row r="866" spans="1:12">
      <c r="A866" s="391"/>
      <c r="L866" s="476"/>
    </row>
    <row r="867" spans="1:12">
      <c r="A867" s="391"/>
      <c r="L867" s="476"/>
    </row>
    <row r="868" spans="1:12">
      <c r="A868" s="382"/>
      <c r="B868" s="383"/>
      <c r="C868" s="384"/>
      <c r="D868" s="383"/>
      <c r="E868" s="385"/>
      <c r="F868" s="383"/>
      <c r="G868" s="385"/>
      <c r="H868" s="383"/>
      <c r="I868" s="385"/>
      <c r="J868" s="383"/>
      <c r="K868" s="385"/>
      <c r="L868" s="600"/>
    </row>
  </sheetData>
  <mergeCells count="18">
    <mergeCell ref="J50:L50"/>
    <mergeCell ref="J51:L51"/>
    <mergeCell ref="B449:D449"/>
    <mergeCell ref="H45:L45"/>
    <mergeCell ref="H46:L46"/>
    <mergeCell ref="H47:L47"/>
    <mergeCell ref="H48:L48"/>
    <mergeCell ref="J49:L49"/>
    <mergeCell ref="H40:L40"/>
    <mergeCell ref="H41:L41"/>
    <mergeCell ref="H42:L42"/>
    <mergeCell ref="H43:L43"/>
    <mergeCell ref="H44:L44"/>
    <mergeCell ref="H35:L35"/>
    <mergeCell ref="H36:L36"/>
    <mergeCell ref="H37:L37"/>
    <mergeCell ref="H38:L38"/>
    <mergeCell ref="H39:L39"/>
  </mergeCells>
  <pageMargins left="0.23622047244094499" right="0.23622047244094499" top="0.74803149606299202" bottom="0.74803149606299202" header="0.31496062992126" footer="0.31496062992126"/>
  <pageSetup paperSize="9" scale="75" fitToHeight="0" orientation="portrait" horizontalDpi="120" verticalDpi="144"/>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767"/>
  <sheetViews>
    <sheetView topLeftCell="A89" workbookViewId="0">
      <selection activeCell="B123" sqref="B123"/>
    </sheetView>
  </sheetViews>
  <sheetFormatPr defaultColWidth="9" defaultRowHeight="12.5"/>
  <cols>
    <col min="1" max="1" width="36.1796875" customWidth="1"/>
    <col min="2" max="2" width="15" customWidth="1"/>
    <col min="3" max="3" width="14.54296875" customWidth="1"/>
    <col min="4" max="4" width="35.1796875" customWidth="1"/>
    <col min="5" max="5" width="15.7265625" customWidth="1"/>
    <col min="6" max="6" width="16.81640625" customWidth="1"/>
    <col min="7" max="8" width="17.7265625" customWidth="1"/>
    <col min="9" max="9" width="11.26953125" style="1" customWidth="1"/>
    <col min="10" max="10" width="17.54296875" customWidth="1"/>
    <col min="11" max="11" width="10.54296875" customWidth="1"/>
    <col min="12" max="12" width="18" customWidth="1"/>
    <col min="13" max="13" width="18.453125" customWidth="1"/>
    <col min="14" max="14" width="10.81640625" customWidth="1"/>
    <col min="15" max="15" width="11.453125" customWidth="1"/>
  </cols>
  <sheetData>
    <row r="2" spans="1:14" ht="15">
      <c r="A2" s="153"/>
      <c r="B2" s="154" t="str">
        <f>C72</f>
        <v xml:space="preserve">M/S.SHAS DESIGN AND PRINTING </v>
      </c>
      <c r="C2" s="155"/>
      <c r="D2" s="156"/>
      <c r="E2" s="157"/>
      <c r="F2" s="157"/>
      <c r="G2" s="157"/>
      <c r="H2" s="157"/>
      <c r="I2" s="196"/>
    </row>
    <row r="3" spans="1:14" ht="15">
      <c r="A3" s="158" t="s">
        <v>422</v>
      </c>
      <c r="B3" s="158"/>
      <c r="C3" s="158"/>
      <c r="D3" s="158"/>
      <c r="E3" s="158"/>
      <c r="F3" s="159"/>
      <c r="G3" s="159"/>
      <c r="H3" s="159"/>
      <c r="I3" s="197"/>
    </row>
    <row r="4" spans="1:14" ht="15">
      <c r="A4" s="159"/>
      <c r="B4" s="159"/>
      <c r="C4" s="159"/>
      <c r="D4" s="159"/>
      <c r="E4" s="159"/>
      <c r="F4" s="159"/>
      <c r="G4" s="159"/>
      <c r="H4" s="159"/>
      <c r="I4" s="197"/>
    </row>
    <row r="5" spans="1:14" ht="15">
      <c r="A5" s="160" t="s">
        <v>423</v>
      </c>
      <c r="B5" s="160"/>
      <c r="C5" s="160" t="s">
        <v>424</v>
      </c>
      <c r="D5" s="160" t="s">
        <v>423</v>
      </c>
      <c r="E5" s="160"/>
      <c r="F5" s="160" t="s">
        <v>424</v>
      </c>
      <c r="G5" s="158"/>
      <c r="H5" s="158"/>
      <c r="I5" s="197"/>
    </row>
    <row r="6" spans="1:14" ht="15">
      <c r="A6" s="159"/>
      <c r="B6" s="159"/>
      <c r="C6" s="161"/>
      <c r="D6" s="161"/>
      <c r="E6" s="161"/>
      <c r="F6" s="161"/>
      <c r="G6" s="161"/>
      <c r="H6" s="161"/>
      <c r="I6" s="197"/>
      <c r="J6" s="121"/>
      <c r="K6" s="121"/>
      <c r="L6" s="121"/>
      <c r="M6" s="121"/>
      <c r="N6" s="121"/>
    </row>
    <row r="7" spans="1:14" ht="15">
      <c r="A7" s="159" t="s">
        <v>425</v>
      </c>
      <c r="B7" s="159"/>
      <c r="C7" s="161">
        <v>534520</v>
      </c>
      <c r="D7" s="161" t="s">
        <v>426</v>
      </c>
      <c r="E7" s="161"/>
      <c r="F7" s="161">
        <v>796061</v>
      </c>
      <c r="G7" s="161"/>
      <c r="H7" s="161"/>
      <c r="I7" s="197"/>
      <c r="J7" s="121"/>
      <c r="K7" s="121"/>
      <c r="L7" s="121"/>
      <c r="M7" s="121"/>
      <c r="N7" s="121"/>
    </row>
    <row r="8" spans="1:14" ht="15">
      <c r="A8" s="159" t="s">
        <v>427</v>
      </c>
      <c r="B8" s="159"/>
      <c r="C8" s="161">
        <v>470500</v>
      </c>
      <c r="D8" s="161"/>
      <c r="E8" s="161"/>
      <c r="F8" s="161"/>
      <c r="G8" s="161"/>
      <c r="H8" s="161"/>
      <c r="I8" s="197"/>
      <c r="J8" s="121"/>
      <c r="K8" s="121"/>
      <c r="L8" s="121"/>
      <c r="M8" s="121"/>
      <c r="N8" s="121"/>
    </row>
    <row r="9" spans="1:14" ht="15">
      <c r="A9" s="159"/>
      <c r="B9" s="159"/>
      <c r="C9" s="161"/>
      <c r="D9" s="161" t="s">
        <v>428</v>
      </c>
      <c r="E9" s="161"/>
      <c r="F9" s="161">
        <f>C78</f>
        <v>0</v>
      </c>
      <c r="G9" s="161"/>
      <c r="H9" s="161"/>
      <c r="I9" s="197"/>
      <c r="J9" s="121"/>
      <c r="K9" s="121"/>
      <c r="L9" s="121"/>
      <c r="M9" s="121"/>
      <c r="N9" s="121"/>
    </row>
    <row r="10" spans="1:14" ht="15">
      <c r="A10" s="159" t="s">
        <v>429</v>
      </c>
      <c r="B10" s="159"/>
      <c r="C10" s="161">
        <f>F11-C7-C8-C9</f>
        <v>-208959</v>
      </c>
      <c r="D10" s="161"/>
      <c r="E10" s="161"/>
      <c r="F10" s="161"/>
      <c r="G10" s="161"/>
      <c r="H10" s="161"/>
      <c r="I10" s="197"/>
      <c r="J10" s="121"/>
      <c r="K10" s="121"/>
      <c r="L10" s="121"/>
      <c r="M10" s="121"/>
      <c r="N10" s="121"/>
    </row>
    <row r="11" spans="1:14" ht="15">
      <c r="A11" s="158" t="s">
        <v>430</v>
      </c>
      <c r="B11" s="158"/>
      <c r="C11" s="162">
        <f>SUM(C7:C10)</f>
        <v>796061</v>
      </c>
      <c r="D11" s="163" t="s">
        <v>431</v>
      </c>
      <c r="E11" s="163"/>
      <c r="F11" s="162">
        <f>SUM(F6:F10)</f>
        <v>796061</v>
      </c>
      <c r="G11" s="161"/>
      <c r="H11" s="161"/>
      <c r="I11" s="197"/>
      <c r="J11" s="121"/>
      <c r="K11" s="121"/>
      <c r="L11" s="121"/>
      <c r="M11" s="121"/>
      <c r="N11" s="121"/>
    </row>
    <row r="12" spans="1:14" ht="15">
      <c r="A12" s="159"/>
      <c r="B12" s="159"/>
      <c r="C12" s="161"/>
      <c r="D12" s="161"/>
      <c r="E12" s="161"/>
      <c r="F12" s="161"/>
      <c r="G12" s="161"/>
      <c r="H12" s="161"/>
      <c r="I12" s="197"/>
      <c r="J12" s="121"/>
      <c r="K12" s="121"/>
      <c r="L12" s="121"/>
      <c r="M12" s="121"/>
      <c r="N12" s="121"/>
    </row>
    <row r="13" spans="1:14" ht="15">
      <c r="A13" s="159"/>
      <c r="B13" s="159"/>
      <c r="C13" s="161"/>
      <c r="D13" s="159" t="s">
        <v>432</v>
      </c>
      <c r="E13" s="161"/>
      <c r="F13" s="161">
        <f>C10</f>
        <v>-208959</v>
      </c>
      <c r="G13" s="161"/>
      <c r="H13" s="161"/>
      <c r="I13" s="197"/>
      <c r="J13" s="121"/>
      <c r="K13" s="121"/>
      <c r="L13" s="121"/>
      <c r="M13" s="121"/>
      <c r="N13" s="121"/>
    </row>
    <row r="14" spans="1:14" ht="15">
      <c r="A14" s="159" t="s">
        <v>433</v>
      </c>
      <c r="B14" s="159"/>
      <c r="C14" s="161">
        <v>248500</v>
      </c>
      <c r="D14" s="159"/>
      <c r="E14" s="161"/>
      <c r="F14" s="161"/>
      <c r="G14" s="161"/>
      <c r="H14" s="161"/>
      <c r="I14" s="197"/>
      <c r="J14" s="121"/>
      <c r="K14" s="121"/>
      <c r="L14" s="121"/>
      <c r="M14" s="121"/>
      <c r="N14" s="121"/>
    </row>
    <row r="15" spans="1:14" ht="15">
      <c r="A15" s="159" t="s">
        <v>434</v>
      </c>
      <c r="B15" s="159"/>
      <c r="C15" s="161">
        <v>10850</v>
      </c>
      <c r="D15" s="159"/>
      <c r="E15" s="161"/>
      <c r="F15" s="161"/>
      <c r="G15" s="161"/>
      <c r="H15" s="161"/>
      <c r="I15" s="197"/>
      <c r="J15" s="121"/>
      <c r="K15" s="121"/>
      <c r="L15" s="121"/>
      <c r="M15" s="121"/>
      <c r="N15" s="121"/>
    </row>
    <row r="16" spans="1:14" ht="15">
      <c r="A16" s="159" t="s">
        <v>435</v>
      </c>
      <c r="B16" s="159"/>
      <c r="C16" s="161">
        <v>3450</v>
      </c>
      <c r="D16" s="159"/>
      <c r="E16" s="161"/>
      <c r="F16" s="161"/>
      <c r="G16" s="161"/>
      <c r="H16" s="161"/>
      <c r="I16" s="197"/>
      <c r="J16" s="121"/>
      <c r="K16" s="121"/>
      <c r="L16" s="121"/>
      <c r="M16" s="121"/>
      <c r="N16" s="121"/>
    </row>
    <row r="17" spans="1:14" ht="15">
      <c r="A17" s="159" t="s">
        <v>436</v>
      </c>
      <c r="B17" s="159"/>
      <c r="C17" s="161">
        <v>8450</v>
      </c>
      <c r="D17" s="159"/>
      <c r="E17" s="161"/>
      <c r="F17" s="161"/>
      <c r="G17" s="161"/>
      <c r="H17" s="161"/>
      <c r="I17" s="197"/>
      <c r="J17" s="121"/>
      <c r="K17" s="121"/>
      <c r="L17" s="121"/>
      <c r="M17" s="121"/>
      <c r="N17" s="121"/>
    </row>
    <row r="18" spans="1:14" ht="15">
      <c r="A18" s="159" t="s">
        <v>437</v>
      </c>
      <c r="B18" s="159"/>
      <c r="C18" s="161">
        <v>5800</v>
      </c>
      <c r="D18" s="159"/>
      <c r="E18" s="161"/>
      <c r="F18" s="161"/>
      <c r="G18" s="161" t="s">
        <v>438</v>
      </c>
      <c r="H18" s="161"/>
      <c r="I18" s="197"/>
      <c r="J18" s="121"/>
      <c r="K18" s="121"/>
      <c r="L18" s="121"/>
      <c r="M18" s="121"/>
      <c r="N18" s="121"/>
    </row>
    <row r="19" spans="1:14" ht="15">
      <c r="A19" s="159" t="s">
        <v>439</v>
      </c>
      <c r="B19" s="159"/>
      <c r="C19" s="161">
        <v>17500</v>
      </c>
      <c r="D19" s="159"/>
      <c r="E19" s="161"/>
      <c r="F19" s="161"/>
      <c r="G19" s="161">
        <v>145550</v>
      </c>
      <c r="H19" s="161"/>
      <c r="I19" s="197"/>
      <c r="J19" s="121"/>
      <c r="K19" s="121"/>
      <c r="L19" s="121"/>
      <c r="M19" s="121"/>
      <c r="N19" s="121"/>
    </row>
    <row r="20" spans="1:14" ht="15">
      <c r="A20" s="159" t="s">
        <v>440</v>
      </c>
      <c r="B20" s="159"/>
      <c r="C20" s="161">
        <v>2850</v>
      </c>
      <c r="D20" s="159"/>
      <c r="E20" s="161"/>
      <c r="F20" s="161"/>
      <c r="G20" s="161"/>
      <c r="H20" s="161"/>
      <c r="I20" s="197"/>
      <c r="J20" s="121"/>
      <c r="K20" s="121"/>
      <c r="L20" s="121"/>
      <c r="M20" s="121"/>
      <c r="N20" s="121"/>
    </row>
    <row r="21" spans="1:14" ht="15">
      <c r="A21" s="159" t="s">
        <v>441</v>
      </c>
      <c r="B21" s="159"/>
      <c r="C21" s="161">
        <v>12350</v>
      </c>
      <c r="D21" s="159"/>
      <c r="E21" s="161"/>
      <c r="F21" s="161"/>
      <c r="G21" s="161">
        <f>G19-C24</f>
        <v>706259</v>
      </c>
      <c r="H21" s="161"/>
      <c r="I21" s="197"/>
      <c r="J21" s="121"/>
      <c r="K21" s="121"/>
      <c r="L21" s="121"/>
      <c r="M21" s="121"/>
      <c r="N21" s="121"/>
    </row>
    <row r="22" spans="1:14" ht="15">
      <c r="A22" s="159" t="s">
        <v>442</v>
      </c>
      <c r="B22" s="159"/>
      <c r="C22" s="161">
        <f>G46</f>
        <v>0</v>
      </c>
      <c r="D22" s="159"/>
      <c r="E22" s="161"/>
      <c r="F22" s="161"/>
      <c r="G22" s="161"/>
      <c r="H22" s="161"/>
      <c r="I22" s="197"/>
      <c r="J22" s="121"/>
      <c r="K22" s="121"/>
      <c r="L22" s="121"/>
      <c r="M22" s="121"/>
      <c r="N22" s="121"/>
    </row>
    <row r="23" spans="1:14" ht="15">
      <c r="A23" s="159" t="s">
        <v>443</v>
      </c>
      <c r="B23" s="159"/>
      <c r="C23" s="161">
        <v>42000</v>
      </c>
      <c r="D23" s="159"/>
      <c r="E23" s="161"/>
      <c r="F23" s="161"/>
      <c r="G23" s="161"/>
      <c r="H23" s="161"/>
      <c r="I23" s="197"/>
      <c r="J23" s="121"/>
      <c r="K23" s="121"/>
      <c r="L23" s="121"/>
      <c r="M23" s="121"/>
      <c r="N23" s="121"/>
    </row>
    <row r="24" spans="1:14" ht="15">
      <c r="A24" s="159" t="s">
        <v>444</v>
      </c>
      <c r="B24" s="159"/>
      <c r="C24" s="161">
        <f>F26-C14-C15-C16-C17-C18-C19-C20-C21-C22-C23</f>
        <v>-560709</v>
      </c>
      <c r="D24" s="159"/>
      <c r="E24" s="161"/>
      <c r="F24" s="161"/>
      <c r="G24" s="161"/>
      <c r="H24" s="161"/>
      <c r="I24" s="197"/>
      <c r="J24" s="121"/>
      <c r="K24" s="121"/>
      <c r="L24" s="121"/>
      <c r="M24" s="121"/>
      <c r="N24" s="121"/>
    </row>
    <row r="25" spans="1:14" ht="15">
      <c r="A25" s="159"/>
      <c r="B25" s="159"/>
      <c r="C25" s="164"/>
      <c r="D25" s="161"/>
      <c r="E25" s="161"/>
      <c r="F25" s="161"/>
      <c r="G25" s="161"/>
      <c r="H25" s="161"/>
      <c r="I25" s="197"/>
      <c r="J25" s="121"/>
      <c r="K25" s="121"/>
      <c r="L25" s="121"/>
      <c r="M25" s="121"/>
      <c r="N25" s="121"/>
    </row>
    <row r="26" spans="1:14" ht="15">
      <c r="A26" s="158" t="s">
        <v>445</v>
      </c>
      <c r="B26" s="158"/>
      <c r="C26" s="165">
        <f>SUM(C13:C25)</f>
        <v>-208959</v>
      </c>
      <c r="D26" s="163" t="s">
        <v>446</v>
      </c>
      <c r="E26" s="163"/>
      <c r="F26" s="165">
        <f>SUM(F13:F25)</f>
        <v>-208959</v>
      </c>
      <c r="G26" s="161"/>
      <c r="H26" s="161"/>
      <c r="I26" s="197"/>
      <c r="J26" s="121"/>
      <c r="K26" s="121"/>
      <c r="L26" s="121"/>
      <c r="M26" s="121"/>
      <c r="N26" s="121"/>
    </row>
    <row r="27" spans="1:14" ht="15">
      <c r="A27" s="166"/>
      <c r="B27" s="166"/>
      <c r="C27" s="167"/>
      <c r="D27" s="167"/>
      <c r="E27" s="167"/>
      <c r="F27" s="167"/>
      <c r="G27" s="161"/>
      <c r="H27" s="161"/>
      <c r="I27" s="197"/>
      <c r="J27" s="121"/>
      <c r="K27" s="121"/>
      <c r="L27" s="121"/>
      <c r="M27" s="121"/>
      <c r="N27" s="121"/>
    </row>
    <row r="28" spans="1:14" ht="15">
      <c r="A28" s="159"/>
      <c r="B28" s="159"/>
      <c r="C28" s="161"/>
      <c r="D28" s="161"/>
      <c r="E28" s="161"/>
      <c r="F28" s="161"/>
      <c r="G28" s="161"/>
      <c r="H28" s="161"/>
      <c r="I28" s="197"/>
      <c r="J28" s="121"/>
      <c r="K28" s="121"/>
      <c r="L28" s="121"/>
      <c r="M28" s="121"/>
      <c r="N28" s="121"/>
    </row>
    <row r="29" spans="1:14" ht="15">
      <c r="A29" s="159"/>
      <c r="B29" s="159"/>
      <c r="C29" s="161"/>
      <c r="D29" s="161" t="str">
        <f>B2</f>
        <v xml:space="preserve">M/S.SHAS DESIGN AND PRINTING </v>
      </c>
      <c r="E29" s="151"/>
      <c r="F29" s="161"/>
      <c r="G29" s="161"/>
      <c r="H29" s="161"/>
      <c r="I29" s="197"/>
      <c r="J29" s="121"/>
      <c r="K29" s="121"/>
      <c r="L29" s="121"/>
      <c r="M29" s="121"/>
      <c r="N29" s="121"/>
    </row>
    <row r="30" spans="1:14" ht="15">
      <c r="A30" s="159"/>
      <c r="B30" s="159"/>
      <c r="C30" s="161"/>
      <c r="D30" s="161"/>
      <c r="E30" s="161"/>
      <c r="F30" s="161"/>
      <c r="G30" s="161"/>
      <c r="H30" s="161"/>
      <c r="I30" s="197"/>
      <c r="J30" s="121"/>
      <c r="K30" s="121"/>
      <c r="L30" s="121"/>
      <c r="M30" s="121"/>
      <c r="N30" s="121"/>
    </row>
    <row r="31" spans="1:14" ht="15">
      <c r="A31" s="159"/>
      <c r="B31" s="159"/>
      <c r="C31" s="161"/>
      <c r="D31" s="161"/>
      <c r="E31" s="161"/>
      <c r="F31" s="161"/>
      <c r="G31" s="161"/>
      <c r="H31" s="161"/>
      <c r="I31" s="197"/>
      <c r="J31" s="121"/>
      <c r="K31" s="121"/>
      <c r="L31" s="121"/>
      <c r="M31" s="121"/>
      <c r="N31" s="121"/>
    </row>
    <row r="32" spans="1:14" ht="15.5">
      <c r="A32" s="151"/>
      <c r="B32" s="151"/>
      <c r="C32" s="168"/>
      <c r="D32" s="169" t="s">
        <v>447</v>
      </c>
      <c r="E32" s="151"/>
      <c r="F32" s="151"/>
      <c r="G32" s="170"/>
      <c r="H32" s="170"/>
      <c r="I32" s="198"/>
      <c r="J32" s="121"/>
      <c r="K32" s="121"/>
      <c r="L32" s="121"/>
      <c r="M32" s="121"/>
      <c r="N32" s="121"/>
    </row>
    <row r="33" spans="1:14" ht="15.5">
      <c r="A33" s="151"/>
      <c r="B33" s="151"/>
      <c r="C33" s="168"/>
      <c r="D33" s="170"/>
      <c r="E33" s="170"/>
      <c r="F33" s="151"/>
      <c r="G33" s="170"/>
      <c r="H33" s="170"/>
      <c r="I33" s="198"/>
      <c r="J33" s="121"/>
      <c r="K33" s="121"/>
      <c r="L33" s="121"/>
      <c r="M33" s="121"/>
      <c r="N33" s="121"/>
    </row>
    <row r="34" spans="1:14" ht="15.5">
      <c r="A34" s="151"/>
      <c r="B34" s="151"/>
      <c r="C34" s="168"/>
      <c r="D34" s="170"/>
      <c r="E34" s="170"/>
      <c r="F34" s="151"/>
      <c r="G34" s="170"/>
      <c r="H34" s="170"/>
      <c r="I34" s="198"/>
      <c r="J34" s="121"/>
      <c r="K34" s="121"/>
      <c r="L34" s="121"/>
      <c r="M34" s="121"/>
      <c r="N34" s="121"/>
    </row>
    <row r="35" spans="1:14" ht="15.5">
      <c r="A35" s="151"/>
      <c r="B35" s="151"/>
      <c r="C35" s="168"/>
      <c r="D35" s="170"/>
      <c r="E35" s="170"/>
      <c r="F35" s="151"/>
      <c r="G35" s="170"/>
      <c r="H35" s="170"/>
      <c r="I35" s="198"/>
      <c r="J35" s="121"/>
      <c r="K35" s="121"/>
      <c r="L35" s="121"/>
      <c r="M35" s="121"/>
      <c r="N35" s="121"/>
    </row>
    <row r="36" spans="1:14" ht="15.5">
      <c r="A36" s="151"/>
      <c r="B36" s="151"/>
      <c r="C36" s="168"/>
      <c r="D36" s="170"/>
      <c r="E36" s="170"/>
      <c r="F36" s="151"/>
      <c r="G36" s="170"/>
      <c r="H36" s="170"/>
      <c r="I36" s="198"/>
      <c r="J36" s="121"/>
      <c r="K36" s="121"/>
      <c r="L36" s="121"/>
      <c r="M36" s="121"/>
      <c r="N36" s="121"/>
    </row>
    <row r="37" spans="1:14" ht="15">
      <c r="A37" s="153"/>
      <c r="B37" s="171" t="str">
        <f>C72</f>
        <v xml:space="preserve">M/S.SHAS DESIGN AND PRINTING </v>
      </c>
      <c r="C37" s="156"/>
      <c r="D37" s="156"/>
      <c r="E37" s="172"/>
      <c r="F37" s="172"/>
      <c r="G37" s="172"/>
      <c r="H37" s="172"/>
      <c r="I37" s="196"/>
      <c r="J37" s="121"/>
      <c r="K37" s="121"/>
      <c r="L37" s="121"/>
      <c r="M37" s="121"/>
      <c r="N37" s="121"/>
    </row>
    <row r="38" spans="1:14" ht="15">
      <c r="A38" s="157" t="s">
        <v>448</v>
      </c>
      <c r="B38" s="157"/>
      <c r="C38" s="172"/>
      <c r="D38" s="172"/>
      <c r="E38" s="172"/>
      <c r="F38" s="173"/>
      <c r="G38" s="173"/>
      <c r="H38" s="173"/>
      <c r="I38" s="199"/>
      <c r="J38" s="121"/>
      <c r="K38" s="121"/>
      <c r="L38" s="121"/>
      <c r="M38" s="121"/>
      <c r="N38" s="121"/>
    </row>
    <row r="39" spans="1:14" ht="15">
      <c r="A39" s="174" t="s">
        <v>449</v>
      </c>
      <c r="B39" s="174" t="s">
        <v>73</v>
      </c>
      <c r="C39" s="175" t="s">
        <v>73</v>
      </c>
      <c r="D39" s="175" t="s">
        <v>450</v>
      </c>
      <c r="E39" s="175" t="s">
        <v>73</v>
      </c>
      <c r="F39" s="175" t="s">
        <v>73</v>
      </c>
      <c r="G39" s="176"/>
      <c r="H39" s="176"/>
      <c r="I39" s="198"/>
      <c r="J39" s="121"/>
      <c r="K39" s="121"/>
      <c r="L39" s="121"/>
      <c r="M39" s="121"/>
      <c r="N39" s="121"/>
    </row>
    <row r="40" spans="1:14" ht="15.5">
      <c r="A40" s="151"/>
      <c r="B40" s="151"/>
      <c r="C40" s="168"/>
      <c r="D40" s="177" t="s">
        <v>451</v>
      </c>
      <c r="E40" s="168"/>
      <c r="F40" s="168"/>
      <c r="G40" s="168"/>
      <c r="H40" s="168"/>
      <c r="I40" s="200"/>
      <c r="J40" s="201"/>
      <c r="K40" s="19"/>
      <c r="L40" s="19"/>
      <c r="M40" s="121"/>
      <c r="N40" s="121"/>
    </row>
    <row r="41" spans="1:14" ht="19">
      <c r="A41" s="178" t="s">
        <v>452</v>
      </c>
      <c r="B41" s="161">
        <v>533897</v>
      </c>
      <c r="C41" s="161"/>
      <c r="D41" s="168"/>
      <c r="E41" s="179"/>
      <c r="F41" s="170"/>
      <c r="G41" s="170"/>
      <c r="H41" s="170"/>
      <c r="I41" s="200"/>
      <c r="J41" s="201"/>
      <c r="K41" s="19"/>
      <c r="L41" s="19"/>
      <c r="M41" s="121"/>
      <c r="N41" s="121"/>
    </row>
    <row r="42" spans="1:14" ht="16">
      <c r="A42" s="180" t="s">
        <v>453</v>
      </c>
      <c r="B42" s="181">
        <f>C24</f>
        <v>-560709</v>
      </c>
      <c r="C42" s="161"/>
      <c r="D42" s="180" t="str">
        <f>D115</f>
        <v>MACHINERY &amp; FITTINGS</v>
      </c>
      <c r="E42" s="182">
        <f>I42</f>
        <v>0</v>
      </c>
      <c r="F42" s="170"/>
      <c r="G42" s="170"/>
      <c r="H42" s="170"/>
      <c r="I42" s="200">
        <f>J42*111.1111/100</f>
        <v>0</v>
      </c>
      <c r="J42" s="201"/>
      <c r="K42" s="19"/>
      <c r="L42" s="19"/>
      <c r="M42" s="121"/>
      <c r="N42" s="121"/>
    </row>
    <row r="43" spans="1:14" ht="19">
      <c r="A43" s="180"/>
      <c r="B43" s="161">
        <f>SUM(B41:B42)</f>
        <v>-26812</v>
      </c>
      <c r="C43" s="161"/>
      <c r="D43" s="168" t="s">
        <v>454</v>
      </c>
      <c r="E43" s="179">
        <f>E42*10/100</f>
        <v>0</v>
      </c>
      <c r="F43" s="170">
        <f>E42-E43</f>
        <v>0</v>
      </c>
      <c r="G43" s="170"/>
      <c r="H43" s="170"/>
      <c r="I43" s="200"/>
      <c r="J43" s="19"/>
      <c r="K43" s="19"/>
      <c r="L43" s="19"/>
      <c r="M43" s="121"/>
      <c r="N43" s="121"/>
    </row>
    <row r="44" spans="1:14" ht="16.5">
      <c r="A44" s="180" t="s">
        <v>455</v>
      </c>
      <c r="B44" s="183">
        <v>60000</v>
      </c>
      <c r="C44" s="161">
        <f>B43-B44</f>
        <v>-86812</v>
      </c>
      <c r="D44" s="170">
        <f>D117</f>
        <v>0</v>
      </c>
      <c r="E44" s="170">
        <f>I44</f>
        <v>0</v>
      </c>
      <c r="F44" s="170"/>
      <c r="G44" s="170"/>
      <c r="H44" s="170"/>
      <c r="I44" s="200">
        <f>J44*111.1111/100</f>
        <v>0</v>
      </c>
      <c r="J44" s="100"/>
      <c r="K44" s="121"/>
      <c r="L44" s="121"/>
      <c r="M44" s="121"/>
      <c r="N44" s="121"/>
    </row>
    <row r="45" spans="1:14" ht="19">
      <c r="A45" s="180"/>
      <c r="B45" s="161"/>
      <c r="C45" s="161"/>
      <c r="D45" s="168" t="s">
        <v>454</v>
      </c>
      <c r="E45" s="179">
        <f>E44*10/100</f>
        <v>0</v>
      </c>
      <c r="F45" s="170">
        <f>E44-E45</f>
        <v>0</v>
      </c>
      <c r="G45" s="170" t="s">
        <v>456</v>
      </c>
      <c r="H45" s="170"/>
      <c r="I45" s="200"/>
      <c r="J45" s="100"/>
      <c r="K45" s="121"/>
      <c r="L45" s="121"/>
      <c r="M45" s="121"/>
      <c r="N45" s="121"/>
    </row>
    <row r="46" spans="1:14" ht="16">
      <c r="A46" s="184"/>
      <c r="B46" s="161"/>
      <c r="C46" s="161"/>
      <c r="D46" s="170">
        <f>D120</f>
        <v>0</v>
      </c>
      <c r="E46" s="182">
        <f>I46</f>
        <v>0</v>
      </c>
      <c r="F46" s="170"/>
      <c r="G46" s="170">
        <f>E43+E45+E47</f>
        <v>0</v>
      </c>
      <c r="H46" s="170"/>
      <c r="I46" s="200">
        <f>J46*111.1111/100</f>
        <v>0</v>
      </c>
      <c r="J46" s="121"/>
      <c r="K46" s="121"/>
      <c r="L46" s="121"/>
      <c r="M46" s="121"/>
      <c r="N46" s="121"/>
    </row>
    <row r="47" spans="1:14" ht="19">
      <c r="A47" s="180"/>
      <c r="B47" s="161"/>
      <c r="C47" s="161"/>
      <c r="D47" s="168" t="s">
        <v>454</v>
      </c>
      <c r="E47" s="179">
        <f>E46*10/100</f>
        <v>0</v>
      </c>
      <c r="F47" s="170">
        <f>E46-E47</f>
        <v>0</v>
      </c>
      <c r="G47" s="170" t="s">
        <v>457</v>
      </c>
      <c r="H47" s="170"/>
      <c r="I47" s="200"/>
      <c r="J47" s="121"/>
      <c r="K47" s="121"/>
      <c r="L47" s="121"/>
      <c r="M47" s="121"/>
      <c r="N47" s="121"/>
    </row>
    <row r="48" spans="1:14" ht="16">
      <c r="A48" s="180"/>
      <c r="B48" s="161"/>
      <c r="C48" s="161"/>
      <c r="D48" s="185"/>
      <c r="E48" s="182"/>
      <c r="F48" s="170"/>
      <c r="G48" s="170" t="s">
        <v>458</v>
      </c>
      <c r="H48" s="170"/>
      <c r="I48" s="200"/>
      <c r="J48" s="121"/>
      <c r="K48" s="121"/>
      <c r="L48" s="121"/>
      <c r="M48" s="121"/>
      <c r="N48" s="121"/>
    </row>
    <row r="49" spans="1:14" ht="18.5">
      <c r="A49" s="151"/>
      <c r="B49" s="186"/>
      <c r="C49" s="168"/>
      <c r="D49" s="168"/>
      <c r="E49" s="179"/>
      <c r="F49" s="170"/>
      <c r="G49" s="170">
        <f>E42+E44+E46</f>
        <v>0</v>
      </c>
      <c r="H49" s="170"/>
      <c r="I49" s="200"/>
      <c r="J49" s="121"/>
      <c r="K49" s="121"/>
      <c r="L49" s="121"/>
      <c r="M49" s="121"/>
      <c r="N49" s="121"/>
    </row>
    <row r="50" spans="1:14" ht="18.5">
      <c r="A50" s="151"/>
      <c r="B50" s="186"/>
      <c r="C50" s="168"/>
      <c r="D50" s="168"/>
      <c r="E50" s="179"/>
      <c r="F50" s="170"/>
      <c r="G50" s="170"/>
      <c r="H50" s="170"/>
      <c r="I50" s="200"/>
      <c r="J50" s="121"/>
      <c r="K50" s="121"/>
      <c r="L50" s="121"/>
      <c r="M50" s="121"/>
      <c r="N50" s="121"/>
    </row>
    <row r="51" spans="1:14" ht="16">
      <c r="A51" s="180" t="s">
        <v>459</v>
      </c>
      <c r="B51" s="186"/>
      <c r="C51" s="170">
        <v>498305</v>
      </c>
      <c r="D51" s="170" t="s">
        <v>460</v>
      </c>
      <c r="E51" s="170"/>
      <c r="F51" s="161">
        <v>745350</v>
      </c>
      <c r="G51" s="170"/>
      <c r="H51" s="170"/>
      <c r="I51" s="198"/>
      <c r="J51" s="121"/>
      <c r="K51" s="121"/>
      <c r="L51" s="121"/>
      <c r="M51" s="121"/>
      <c r="N51" s="121"/>
    </row>
    <row r="52" spans="1:14" ht="16">
      <c r="A52" s="187"/>
      <c r="B52" s="186"/>
      <c r="C52" s="170"/>
      <c r="D52" s="170"/>
      <c r="E52" s="170"/>
      <c r="F52" s="161"/>
      <c r="G52" s="170"/>
      <c r="H52" s="170"/>
      <c r="I52" s="198"/>
      <c r="J52" s="121"/>
      <c r="K52" s="121"/>
      <c r="L52" s="121"/>
      <c r="M52" s="121"/>
      <c r="N52" s="121"/>
    </row>
    <row r="53" spans="1:14" ht="18.5">
      <c r="A53" s="180"/>
      <c r="B53" s="170"/>
      <c r="C53" s="170"/>
      <c r="D53" s="170" t="s">
        <v>461</v>
      </c>
      <c r="E53" s="179"/>
      <c r="F53" s="170">
        <v>15580</v>
      </c>
      <c r="G53" s="188"/>
      <c r="H53" s="188"/>
      <c r="I53" s="198"/>
      <c r="J53" s="121"/>
      <c r="K53" s="121"/>
      <c r="L53" s="121"/>
      <c r="M53" s="121"/>
      <c r="N53" s="121"/>
    </row>
    <row r="54" spans="1:14" ht="18.5">
      <c r="A54" s="180"/>
      <c r="B54" s="170"/>
      <c r="C54" s="170"/>
      <c r="D54" s="170"/>
      <c r="E54" s="179"/>
      <c r="F54" s="170"/>
      <c r="G54" s="188"/>
      <c r="H54" s="188"/>
      <c r="I54" s="198"/>
      <c r="J54" s="121"/>
      <c r="K54" s="121"/>
      <c r="L54" s="121"/>
      <c r="M54" s="121"/>
      <c r="N54" s="121"/>
    </row>
    <row r="55" spans="1:14" ht="16">
      <c r="A55" s="151"/>
      <c r="B55" s="186"/>
      <c r="C55" s="168"/>
      <c r="D55" s="161"/>
      <c r="E55" s="170"/>
      <c r="F55" s="170"/>
      <c r="G55" s="170" t="s">
        <v>462</v>
      </c>
      <c r="H55" s="170"/>
      <c r="I55" s="198"/>
      <c r="J55" s="121"/>
      <c r="K55" s="121"/>
      <c r="L55" s="121"/>
      <c r="M55" s="121"/>
      <c r="N55" s="121"/>
    </row>
    <row r="56" spans="1:14" ht="16.5">
      <c r="A56" s="151"/>
      <c r="B56" s="186"/>
      <c r="C56" s="168"/>
      <c r="D56" s="183" t="s">
        <v>463</v>
      </c>
      <c r="E56" s="170"/>
      <c r="F56" s="170"/>
      <c r="G56" s="188">
        <f>C58-F58</f>
        <v>-362017</v>
      </c>
      <c r="H56" s="188"/>
      <c r="I56" s="198"/>
      <c r="J56" s="121"/>
      <c r="K56" s="121"/>
      <c r="L56" s="121"/>
      <c r="M56" s="121"/>
      <c r="N56" s="121"/>
    </row>
    <row r="57" spans="1:14" ht="16">
      <c r="A57" s="151"/>
      <c r="B57" s="186"/>
      <c r="C57" s="168"/>
      <c r="D57" s="161" t="s">
        <v>464</v>
      </c>
      <c r="E57" s="170"/>
      <c r="F57" s="170">
        <v>12580</v>
      </c>
      <c r="G57" s="170"/>
      <c r="H57" s="170"/>
      <c r="I57" s="198"/>
      <c r="J57" s="121"/>
      <c r="K57" s="121"/>
      <c r="L57" s="121"/>
      <c r="M57" s="121"/>
      <c r="N57" s="121"/>
    </row>
    <row r="58" spans="1:14" ht="15.5">
      <c r="A58" s="184" t="s">
        <v>465</v>
      </c>
      <c r="B58" s="188"/>
      <c r="C58" s="189">
        <f>SUM(C41:C57)</f>
        <v>411493</v>
      </c>
      <c r="D58" s="188" t="s">
        <v>466</v>
      </c>
      <c r="E58" s="188"/>
      <c r="F58" s="189">
        <f>SUM(F42:F57)</f>
        <v>773510</v>
      </c>
      <c r="G58" s="188"/>
      <c r="H58" s="188"/>
      <c r="I58" s="198"/>
      <c r="J58" s="121"/>
      <c r="K58" s="121"/>
      <c r="L58" s="121"/>
      <c r="M58" s="121"/>
      <c r="N58" s="121"/>
    </row>
    <row r="59" spans="1:14" ht="15.5">
      <c r="A59" s="178"/>
      <c r="B59" s="190"/>
      <c r="C59" s="190"/>
      <c r="D59" s="191"/>
      <c r="E59" s="191"/>
      <c r="F59" s="191"/>
      <c r="G59" s="188"/>
      <c r="H59" s="188"/>
      <c r="I59" s="198"/>
      <c r="J59" s="121"/>
      <c r="K59" s="121"/>
      <c r="L59" s="121"/>
      <c r="M59" s="121"/>
      <c r="N59" s="121"/>
    </row>
    <row r="60" spans="1:14" ht="15.5">
      <c r="A60" s="184"/>
      <c r="B60" s="188"/>
      <c r="C60" s="188"/>
      <c r="D60" s="100"/>
      <c r="E60" s="170"/>
      <c r="F60" s="170"/>
      <c r="G60" s="188"/>
      <c r="H60" s="188"/>
      <c r="I60" s="198"/>
      <c r="J60" s="121"/>
      <c r="K60" s="121"/>
      <c r="L60" s="121"/>
      <c r="M60" s="121"/>
      <c r="N60" s="121"/>
    </row>
    <row r="61" spans="1:14" s="151" customFormat="1" ht="15.5">
      <c r="A61" s="184"/>
      <c r="B61" s="188"/>
      <c r="C61" s="188"/>
      <c r="D61" s="100" t="str">
        <f>D29</f>
        <v xml:space="preserve">M/S.SHAS DESIGN AND PRINTING </v>
      </c>
      <c r="F61" s="170"/>
      <c r="G61" s="188"/>
      <c r="H61" s="188"/>
      <c r="I61" s="198"/>
      <c r="J61" s="168"/>
      <c r="K61" s="168"/>
      <c r="L61" s="168"/>
      <c r="M61" s="168"/>
      <c r="N61" s="168"/>
    </row>
    <row r="62" spans="1:14" ht="15.5">
      <c r="A62" s="184"/>
      <c r="B62" s="188"/>
      <c r="C62" s="188"/>
      <c r="D62" s="100"/>
      <c r="E62" s="151"/>
      <c r="F62" s="170"/>
      <c r="G62" s="188"/>
      <c r="H62" s="188"/>
      <c r="I62" s="198"/>
      <c r="J62" s="121"/>
      <c r="K62" s="121"/>
      <c r="L62" s="121"/>
      <c r="M62" s="121"/>
      <c r="N62" s="121"/>
    </row>
    <row r="63" spans="1:14" ht="15.5">
      <c r="A63" s="184"/>
      <c r="B63" s="188"/>
      <c r="C63" s="188"/>
      <c r="D63" s="192" t="s">
        <v>467</v>
      </c>
      <c r="E63" s="151"/>
      <c r="F63" s="170"/>
      <c r="G63" s="188"/>
      <c r="H63" s="188"/>
      <c r="I63" s="198"/>
      <c r="J63" s="121"/>
      <c r="K63" s="121"/>
      <c r="L63" s="121"/>
      <c r="M63" s="121"/>
      <c r="N63" s="121"/>
    </row>
    <row r="64" spans="1:14" ht="20">
      <c r="B64" s="193" t="s">
        <v>468</v>
      </c>
      <c r="C64" s="194"/>
      <c r="D64" s="195">
        <v>12000</v>
      </c>
    </row>
    <row r="65" spans="1:14" ht="20" hidden="1">
      <c r="B65" s="202"/>
      <c r="C65" s="202"/>
      <c r="D65" s="202"/>
    </row>
    <row r="66" spans="1:14" ht="20" hidden="1">
      <c r="B66" s="202"/>
      <c r="C66" s="202"/>
      <c r="D66" s="202"/>
    </row>
    <row r="67" spans="1:14" ht="20" hidden="1">
      <c r="B67" s="202"/>
      <c r="C67" s="202"/>
      <c r="D67" s="202"/>
    </row>
    <row r="68" spans="1:14" ht="20">
      <c r="B68" s="202"/>
      <c r="C68" s="202"/>
      <c r="D68" s="202"/>
    </row>
    <row r="69" spans="1:14" ht="20">
      <c r="B69" s="202"/>
      <c r="C69" s="202"/>
      <c r="D69" s="202"/>
    </row>
    <row r="70" spans="1:14" ht="20" hidden="1">
      <c r="B70" s="202"/>
      <c r="C70" s="202"/>
      <c r="D70" s="202"/>
    </row>
    <row r="71" spans="1:14" ht="11" customHeight="1">
      <c r="B71" s="202"/>
      <c r="C71" s="202"/>
      <c r="D71" s="202"/>
    </row>
    <row r="72" spans="1:14" ht="17.25" customHeight="1">
      <c r="A72" s="203"/>
      <c r="B72" s="204" t="str">
        <f>'PROJECT REPORT '!H17</f>
        <v>Mr.SHAFEEK N N</v>
      </c>
      <c r="C72" s="205" t="str">
        <f>'PROJECT REPORT '!H6</f>
        <v xml:space="preserve">M/S.SHAS DESIGN AND PRINTING </v>
      </c>
      <c r="D72" s="206"/>
      <c r="E72" s="206"/>
      <c r="F72" s="206"/>
      <c r="G72" s="206"/>
      <c r="H72" s="206"/>
      <c r="I72" s="267"/>
    </row>
    <row r="73" spans="1:14" ht="16">
      <c r="A73" s="207"/>
      <c r="B73" s="208" t="str">
        <f>'PROJECT REPORT '!H7</f>
        <v>NEAR POST OFFICE, NILESHWAR</v>
      </c>
      <c r="C73" s="209" t="str">
        <f>'DATA INPUT '!C11</f>
        <v>NILESHWAR</v>
      </c>
      <c r="D73" s="210"/>
      <c r="E73" s="210"/>
      <c r="F73" s="210"/>
      <c r="G73" s="206"/>
      <c r="H73" s="206"/>
      <c r="I73" s="267"/>
    </row>
    <row r="74" spans="1:14" ht="15">
      <c r="A74" s="211" t="s">
        <v>469</v>
      </c>
      <c r="B74" s="211"/>
      <c r="C74" s="211"/>
      <c r="D74" s="211"/>
      <c r="E74" s="211"/>
      <c r="F74" s="212"/>
      <c r="G74" s="212"/>
      <c r="H74" s="212"/>
      <c r="I74" s="268"/>
    </row>
    <row r="75" spans="1:14" ht="15">
      <c r="A75" s="212"/>
      <c r="B75" s="212"/>
      <c r="C75" s="212"/>
      <c r="D75" s="212"/>
      <c r="E75" s="212"/>
      <c r="F75" s="212"/>
      <c r="G75" s="212"/>
      <c r="H75" s="212"/>
      <c r="I75" s="268"/>
    </row>
    <row r="76" spans="1:14" ht="15">
      <c r="A76" s="213" t="s">
        <v>470</v>
      </c>
      <c r="B76" s="213"/>
      <c r="C76" s="213" t="s">
        <v>424</v>
      </c>
      <c r="D76" s="213" t="s">
        <v>471</v>
      </c>
      <c r="E76" s="213"/>
      <c r="F76" s="213" t="s">
        <v>424</v>
      </c>
      <c r="G76" s="211"/>
      <c r="H76" s="211"/>
      <c r="I76" s="268"/>
    </row>
    <row r="77" spans="1:14" ht="15">
      <c r="A77" s="212"/>
      <c r="B77" s="212"/>
      <c r="C77" s="214"/>
      <c r="D77" s="214"/>
      <c r="E77" s="214"/>
      <c r="F77" s="214"/>
      <c r="G77" s="211"/>
      <c r="H77" s="211"/>
      <c r="I77" s="268"/>
      <c r="J77" s="121"/>
      <c r="K77" s="121"/>
      <c r="L77" s="121"/>
      <c r="M77" s="121"/>
      <c r="N77" s="121"/>
    </row>
    <row r="78" spans="1:14" ht="15">
      <c r="A78" s="212" t="s">
        <v>425</v>
      </c>
      <c r="B78" s="212"/>
      <c r="C78" s="214">
        <v>0</v>
      </c>
      <c r="D78" s="214" t="s">
        <v>472</v>
      </c>
      <c r="E78" s="214"/>
      <c r="F78" s="214">
        <f>'PROJECT REPORT '!D753*100000-G79</f>
        <v>1088983.3333333333</v>
      </c>
      <c r="G78" s="212" t="s">
        <v>473</v>
      </c>
      <c r="H78" s="211"/>
      <c r="I78" s="268"/>
      <c r="J78" s="121"/>
      <c r="K78" s="121"/>
      <c r="L78" s="121"/>
      <c r="M78" s="121"/>
      <c r="N78" s="121"/>
    </row>
    <row r="79" spans="1:14" ht="15">
      <c r="A79" s="212" t="s">
        <v>474</v>
      </c>
      <c r="B79" s="212"/>
      <c r="C79" s="214">
        <f>'PROJECT REPORT '!D757*100000</f>
        <v>372880</v>
      </c>
      <c r="D79" s="214"/>
      <c r="E79" s="214"/>
      <c r="G79" s="214">
        <f>F82-C78</f>
        <v>130350</v>
      </c>
      <c r="H79" s="214"/>
      <c r="I79" s="268"/>
      <c r="J79" s="121"/>
      <c r="K79" s="121"/>
      <c r="L79" s="121"/>
      <c r="M79" s="121"/>
      <c r="N79" s="121"/>
    </row>
    <row r="80" spans="1:14" ht="15">
      <c r="A80" s="212"/>
      <c r="B80" s="212"/>
      <c r="C80" s="214"/>
      <c r="D80" s="214"/>
      <c r="E80" s="214"/>
      <c r="F80" s="214"/>
      <c r="G80" s="214"/>
      <c r="H80" s="214"/>
      <c r="I80" s="268"/>
      <c r="J80" s="121"/>
      <c r="K80" s="121"/>
      <c r="L80" s="121"/>
      <c r="M80" s="121"/>
      <c r="N80" s="121"/>
    </row>
    <row r="81" spans="1:14" ht="15">
      <c r="A81" s="212"/>
      <c r="B81" s="212"/>
      <c r="C81" s="214"/>
      <c r="D81" s="214"/>
      <c r="E81" s="214"/>
      <c r="F81" s="214"/>
      <c r="G81" s="214"/>
      <c r="H81" s="214"/>
      <c r="I81" s="268"/>
      <c r="J81" s="121"/>
      <c r="K81" s="121"/>
      <c r="L81" s="121"/>
      <c r="M81" s="121"/>
      <c r="N81" s="121"/>
    </row>
    <row r="82" spans="1:14" ht="15">
      <c r="A82" s="212" t="s">
        <v>429</v>
      </c>
      <c r="B82" s="212"/>
      <c r="C82" s="214">
        <f>F83-C78-C79-C81</f>
        <v>846453.33333333326</v>
      </c>
      <c r="D82" s="214" t="s">
        <v>475</v>
      </c>
      <c r="E82" s="214"/>
      <c r="F82" s="214">
        <f>'PROJECT REPORT '!J303*110/100</f>
        <v>130350</v>
      </c>
      <c r="H82" s="214"/>
      <c r="I82" s="268"/>
      <c r="J82" s="121"/>
      <c r="K82" s="121"/>
      <c r="L82" s="121"/>
      <c r="M82" s="121"/>
      <c r="N82" s="121"/>
    </row>
    <row r="83" spans="1:14" ht="15">
      <c r="A83" s="211" t="s">
        <v>430</v>
      </c>
      <c r="B83" s="211"/>
      <c r="C83" s="215">
        <f>SUM(C78:C82)</f>
        <v>1219333.3333333333</v>
      </c>
      <c r="D83" s="216" t="s">
        <v>431</v>
      </c>
      <c r="E83" s="216"/>
      <c r="F83" s="215">
        <f>SUM(F77:F82)</f>
        <v>1219333.3333333333</v>
      </c>
      <c r="G83" s="214"/>
      <c r="H83" s="161"/>
      <c r="I83" s="268"/>
      <c r="J83" s="121"/>
      <c r="K83" s="121"/>
      <c r="L83" s="121"/>
      <c r="M83" s="121"/>
      <c r="N83" s="121"/>
    </row>
    <row r="84" spans="1:14" ht="15">
      <c r="A84" s="212" t="s">
        <v>433</v>
      </c>
      <c r="B84" s="212"/>
      <c r="C84" s="214">
        <f>'PROJECT REPORT '!D763*100000</f>
        <v>256000</v>
      </c>
      <c r="D84" s="212" t="s">
        <v>432</v>
      </c>
      <c r="E84" s="214"/>
      <c r="F84" s="214">
        <f>C82</f>
        <v>846453.33333333326</v>
      </c>
      <c r="G84" s="214"/>
      <c r="H84" s="214"/>
      <c r="I84" s="268"/>
      <c r="J84" s="121"/>
      <c r="K84" s="121"/>
      <c r="L84" s="121"/>
      <c r="M84" s="121"/>
      <c r="N84" s="121"/>
    </row>
    <row r="85" spans="1:14" ht="15">
      <c r="A85" s="212" t="s">
        <v>434</v>
      </c>
      <c r="B85" s="212"/>
      <c r="C85" s="214">
        <f>'PROJECT REPORT '!D779*100000</f>
        <v>3200</v>
      </c>
      <c r="D85" s="212"/>
      <c r="E85" s="214"/>
      <c r="F85" s="214"/>
      <c r="G85" s="214"/>
      <c r="H85" s="214"/>
      <c r="I85" s="268"/>
      <c r="J85" s="121"/>
      <c r="K85" s="121"/>
      <c r="L85" s="121"/>
      <c r="M85" s="121"/>
      <c r="N85" s="121"/>
    </row>
    <row r="86" spans="1:14" ht="15">
      <c r="A86" s="212" t="s">
        <v>435</v>
      </c>
      <c r="B86" s="212"/>
      <c r="C86" s="214">
        <f>'PROJECT REPORT '!D761*100000</f>
        <v>4000</v>
      </c>
      <c r="D86" s="212"/>
      <c r="E86" s="214"/>
      <c r="F86" s="214"/>
      <c r="G86" s="214"/>
      <c r="H86" s="214"/>
      <c r="I86" s="268"/>
      <c r="J86" s="121"/>
      <c r="K86" s="121"/>
      <c r="L86" s="121"/>
      <c r="M86" s="121"/>
      <c r="N86" s="121"/>
    </row>
    <row r="87" spans="1:14" ht="15">
      <c r="A87" s="212" t="s">
        <v>436</v>
      </c>
      <c r="B87" s="212"/>
      <c r="C87" s="214">
        <f>'PROJECT REPORT '!D786*100000</f>
        <v>7199.9999999999991</v>
      </c>
      <c r="D87" s="212"/>
      <c r="E87" s="214"/>
      <c r="F87" s="214"/>
      <c r="G87" s="214"/>
      <c r="H87" s="214"/>
      <c r="I87" s="268"/>
      <c r="J87" s="121"/>
      <c r="K87" s="121"/>
      <c r="L87" s="121"/>
      <c r="M87" s="121"/>
      <c r="N87" s="121"/>
    </row>
    <row r="88" spans="1:14" ht="15">
      <c r="A88" s="212" t="s">
        <v>437</v>
      </c>
      <c r="B88" s="212"/>
      <c r="C88" s="214">
        <f>'PROJECT REPORT '!D769*100000</f>
        <v>800</v>
      </c>
      <c r="D88" s="212"/>
      <c r="E88" s="214"/>
      <c r="F88" s="214"/>
      <c r="G88" s="214"/>
      <c r="H88" s="214"/>
      <c r="I88" s="269"/>
      <c r="J88" s="121"/>
      <c r="K88" s="121"/>
      <c r="L88" s="121"/>
      <c r="M88" s="121"/>
      <c r="N88" s="121"/>
    </row>
    <row r="89" spans="1:14" ht="15">
      <c r="A89" s="212" t="s">
        <v>476</v>
      </c>
      <c r="B89" s="212"/>
      <c r="C89" s="214">
        <f>'PROJECT REPORT '!D765*100000</f>
        <v>4799.9999999999991</v>
      </c>
      <c r="D89" s="212"/>
      <c r="E89" s="214"/>
      <c r="F89" s="214"/>
      <c r="G89" s="214"/>
      <c r="H89" s="214"/>
      <c r="I89" s="269"/>
      <c r="J89" s="121"/>
      <c r="K89" s="121"/>
      <c r="L89" s="121"/>
      <c r="M89" s="121"/>
      <c r="N89" s="121"/>
    </row>
    <row r="90" spans="1:14" ht="15">
      <c r="A90" s="212" t="s">
        <v>440</v>
      </c>
      <c r="B90" s="212"/>
      <c r="C90" s="214">
        <f>'PROJECT REPORT '!D767*100000</f>
        <v>800</v>
      </c>
      <c r="D90" s="212"/>
      <c r="E90" s="214"/>
      <c r="F90" s="214"/>
      <c r="G90" s="214" t="s">
        <v>438</v>
      </c>
      <c r="H90" s="214"/>
      <c r="I90" s="269"/>
      <c r="J90" s="121"/>
      <c r="K90" s="121"/>
      <c r="L90" s="121"/>
      <c r="M90" s="121"/>
      <c r="N90" s="121"/>
    </row>
    <row r="91" spans="1:14" ht="15">
      <c r="A91" s="212" t="s">
        <v>477</v>
      </c>
      <c r="B91" s="212"/>
      <c r="C91" s="214">
        <f>'PROJECT REPORT '!D790*100000</f>
        <v>39035.5</v>
      </c>
      <c r="D91" s="212"/>
      <c r="E91" s="214"/>
      <c r="F91" s="214"/>
      <c r="G91" s="214">
        <f>'PROJECT REPORT '!D796*100000</f>
        <v>292139.96666666679</v>
      </c>
      <c r="H91" s="214"/>
      <c r="I91" s="269"/>
      <c r="J91" s="121"/>
      <c r="K91" s="121"/>
      <c r="L91" s="121"/>
      <c r="M91" s="121"/>
      <c r="N91" s="121"/>
    </row>
    <row r="92" spans="1:14" ht="15">
      <c r="A92" s="212" t="s">
        <v>441</v>
      </c>
      <c r="B92" s="212"/>
      <c r="C92" s="214">
        <f>'PROJECT REPORT '!D771*100000</f>
        <v>8000</v>
      </c>
      <c r="D92" s="212"/>
      <c r="E92" s="214"/>
      <c r="F92" s="214"/>
      <c r="G92" s="214"/>
      <c r="H92" s="214"/>
      <c r="I92" s="269"/>
      <c r="J92" s="121"/>
      <c r="K92" s="121"/>
      <c r="L92" s="121"/>
      <c r="M92" s="121"/>
      <c r="N92" s="121"/>
    </row>
    <row r="93" spans="1:14" ht="15">
      <c r="A93" s="212" t="s">
        <v>442</v>
      </c>
      <c r="B93" s="212"/>
      <c r="C93" s="214">
        <f>'PROJECT REPORT '!D788*100000</f>
        <v>52066.666666666672</v>
      </c>
      <c r="D93" s="212"/>
      <c r="E93" s="214"/>
      <c r="F93" s="214"/>
      <c r="G93" s="214"/>
      <c r="H93" s="214"/>
      <c r="I93" s="269"/>
      <c r="J93" s="121"/>
      <c r="K93" s="121"/>
      <c r="L93" s="121"/>
      <c r="M93" s="121"/>
      <c r="N93" s="121"/>
    </row>
    <row r="94" spans="1:14" ht="15">
      <c r="A94" s="212" t="s">
        <v>443</v>
      </c>
      <c r="B94" s="212"/>
      <c r="C94" s="214">
        <f>'PROJECT REPORT '!D759*100000</f>
        <v>44000</v>
      </c>
      <c r="D94" s="212"/>
      <c r="E94" s="214"/>
      <c r="F94" s="214"/>
      <c r="G94" s="214">
        <f>G91-C98</f>
        <v>0</v>
      </c>
      <c r="H94" s="214"/>
      <c r="I94" s="269"/>
      <c r="J94" s="121"/>
      <c r="K94" s="121"/>
      <c r="L94" s="121"/>
      <c r="M94" s="121"/>
      <c r="N94" s="121"/>
    </row>
    <row r="95" spans="1:14" ht="15">
      <c r="A95" s="212" t="s">
        <v>478</v>
      </c>
      <c r="B95" s="212"/>
      <c r="C95" s="214">
        <f>'PROJECT REPORT '!D773*100000</f>
        <v>129120.00000000001</v>
      </c>
      <c r="D95" s="212"/>
      <c r="E95" s="214"/>
      <c r="F95" s="214"/>
      <c r="G95" s="214"/>
      <c r="H95" s="214"/>
      <c r="I95" s="269"/>
      <c r="J95" s="121"/>
      <c r="K95" s="121"/>
      <c r="L95" s="121"/>
      <c r="M95" s="121"/>
      <c r="N95" s="121"/>
    </row>
    <row r="96" spans="1:14" ht="15">
      <c r="A96" s="212" t="s">
        <v>479</v>
      </c>
      <c r="B96" s="212"/>
      <c r="C96" s="214">
        <f>'PROJECT REPORT '!D775*100000</f>
        <v>1291.2000000000003</v>
      </c>
      <c r="D96" s="212"/>
      <c r="E96" s="214"/>
      <c r="F96" s="214"/>
      <c r="G96" s="214"/>
      <c r="H96" s="214"/>
      <c r="I96" s="269"/>
      <c r="J96" s="121"/>
      <c r="K96" s="121"/>
      <c r="L96" s="121"/>
      <c r="M96" s="121"/>
      <c r="N96" s="121"/>
    </row>
    <row r="97" spans="1:14" ht="15">
      <c r="A97" s="212" t="s">
        <v>480</v>
      </c>
      <c r="B97" s="212"/>
      <c r="C97" s="214">
        <f>'PROJECT REPORT '!D777*100000</f>
        <v>4000</v>
      </c>
      <c r="D97" s="212"/>
      <c r="E97" s="214"/>
      <c r="F97" s="214"/>
      <c r="G97" s="214"/>
      <c r="H97" s="214"/>
      <c r="I97" s="269"/>
      <c r="J97" s="121"/>
      <c r="K97" s="121"/>
      <c r="L97" s="121"/>
      <c r="M97" s="121"/>
      <c r="N97" s="121"/>
    </row>
    <row r="98" spans="1:14" ht="15">
      <c r="A98" s="212" t="s">
        <v>444</v>
      </c>
      <c r="B98" s="212"/>
      <c r="C98" s="214">
        <f>F100-C84-C85-C86-C87-C88-C89-C90-C91-C92-C93-C94-C95-C96-C97</f>
        <v>292139.96666666656</v>
      </c>
      <c r="D98" s="212"/>
      <c r="E98" s="214"/>
      <c r="F98" s="214"/>
      <c r="G98" s="214"/>
      <c r="H98" s="214"/>
      <c r="I98" s="269"/>
      <c r="J98" s="121"/>
      <c r="K98" s="121"/>
      <c r="L98" s="121"/>
      <c r="M98" s="121"/>
      <c r="N98" s="121"/>
    </row>
    <row r="99" spans="1:14" ht="15" hidden="1">
      <c r="A99" s="212"/>
      <c r="B99" s="212"/>
      <c r="C99" s="217"/>
      <c r="D99" s="214"/>
      <c r="E99" s="214"/>
      <c r="F99" s="214"/>
      <c r="G99" s="214"/>
      <c r="H99" s="214"/>
      <c r="I99" s="269"/>
      <c r="J99" s="121"/>
      <c r="K99" s="121"/>
      <c r="L99" s="121"/>
      <c r="M99" s="121"/>
      <c r="N99" s="121"/>
    </row>
    <row r="100" spans="1:14" ht="15">
      <c r="A100" s="211" t="s">
        <v>445</v>
      </c>
      <c r="B100" s="211"/>
      <c r="C100" s="218">
        <f>SUM(C84:C99)</f>
        <v>846453.33333333326</v>
      </c>
      <c r="D100" s="216" t="s">
        <v>446</v>
      </c>
      <c r="E100" s="216"/>
      <c r="F100" s="218">
        <f>SUM(F84:F99)</f>
        <v>846453.33333333326</v>
      </c>
      <c r="G100" s="214"/>
      <c r="H100" s="214"/>
      <c r="I100" s="268"/>
      <c r="J100" s="121"/>
      <c r="K100" s="121"/>
      <c r="L100" s="121"/>
      <c r="M100" s="121"/>
      <c r="N100" s="121"/>
    </row>
    <row r="101" spans="1:14" ht="15">
      <c r="A101" s="219"/>
      <c r="B101" s="219"/>
      <c r="C101" s="220"/>
      <c r="D101" s="220"/>
      <c r="E101" s="220"/>
      <c r="F101" s="220"/>
      <c r="G101" s="214"/>
      <c r="H101" s="214">
        <f>E115*10/100/12*4</f>
        <v>26033.333333333332</v>
      </c>
      <c r="I101" s="268"/>
      <c r="J101" s="121"/>
      <c r="K101" s="121"/>
      <c r="L101" s="121"/>
      <c r="M101" s="121"/>
      <c r="N101" s="121"/>
    </row>
    <row r="102" spans="1:14" ht="16">
      <c r="A102" s="212"/>
      <c r="B102" s="212"/>
      <c r="C102" s="221" t="s">
        <v>481</v>
      </c>
      <c r="D102" s="222" t="str">
        <f>D61</f>
        <v xml:space="preserve">M/S.SHAS DESIGN AND PRINTING </v>
      </c>
      <c r="E102" s="214"/>
      <c r="F102" s="214"/>
      <c r="G102" s="214"/>
      <c r="H102" s="214"/>
      <c r="I102" s="268"/>
      <c r="J102" s="121"/>
      <c r="K102" s="121"/>
      <c r="L102" s="121"/>
      <c r="M102" s="121"/>
      <c r="N102" s="121"/>
    </row>
    <row r="103" spans="1:14" ht="15.5">
      <c r="A103" s="212" t="str">
        <f>'PROJECT REPORT '!B846</f>
        <v>NILESHWAR</v>
      </c>
      <c r="B103" s="212"/>
      <c r="C103" s="214"/>
      <c r="D103" s="223"/>
      <c r="E103" s="214"/>
      <c r="F103" s="214"/>
      <c r="G103" s="214"/>
      <c r="H103" s="214"/>
      <c r="I103" s="268"/>
      <c r="J103" s="121"/>
      <c r="K103" s="121"/>
      <c r="L103" s="121"/>
      <c r="M103" s="121"/>
      <c r="N103" s="121"/>
    </row>
    <row r="104" spans="1:14" ht="16">
      <c r="A104" s="224">
        <f ca="1">'PROJECT REPORT '!B847</f>
        <v>45896</v>
      </c>
      <c r="B104" s="212"/>
      <c r="C104" s="214"/>
      <c r="D104" s="222"/>
      <c r="E104" s="214"/>
      <c r="F104" s="214"/>
      <c r="G104" s="214"/>
      <c r="H104" s="214"/>
      <c r="I104" s="268"/>
      <c r="J104" s="121"/>
      <c r="K104" s="121"/>
      <c r="L104" s="121"/>
      <c r="M104" s="121"/>
      <c r="N104" s="121"/>
    </row>
    <row r="105" spans="1:14" ht="16">
      <c r="C105" s="121"/>
      <c r="D105" s="225" t="str">
        <f>D63</f>
        <v>Proprietor</v>
      </c>
      <c r="G105" s="214"/>
      <c r="H105" s="214"/>
      <c r="I105" s="268"/>
      <c r="J105" s="121"/>
      <c r="K105" s="121"/>
      <c r="L105" s="121"/>
      <c r="M105" s="121"/>
      <c r="N105" s="121"/>
    </row>
    <row r="106" spans="1:14" ht="16" hidden="1">
      <c r="C106" s="121"/>
      <c r="D106" s="192"/>
      <c r="G106" s="214"/>
      <c r="H106" s="214"/>
      <c r="I106" s="268"/>
      <c r="J106" s="121"/>
      <c r="K106" s="121"/>
      <c r="L106" s="121"/>
      <c r="M106" s="121"/>
      <c r="N106" s="121"/>
    </row>
    <row r="107" spans="1:14" ht="16">
      <c r="C107" s="121"/>
      <c r="D107" s="192"/>
      <c r="G107" s="214"/>
      <c r="H107" s="214"/>
      <c r="I107" s="268"/>
      <c r="J107" s="121"/>
      <c r="K107" s="121"/>
      <c r="L107" s="121"/>
      <c r="M107" s="121"/>
      <c r="N107" s="121"/>
    </row>
    <row r="108" spans="1:14" ht="16">
      <c r="C108" s="121"/>
      <c r="D108" s="192"/>
      <c r="G108" s="214"/>
      <c r="H108" s="214"/>
      <c r="I108" s="268"/>
      <c r="J108" s="121"/>
      <c r="K108" s="121"/>
      <c r="L108" s="121"/>
      <c r="M108" s="121"/>
      <c r="N108" s="121"/>
    </row>
    <row r="109" spans="1:14" ht="16.5">
      <c r="B109" s="204" t="str">
        <f>B72</f>
        <v>Mr.SHAFEEK N N</v>
      </c>
      <c r="C109" s="226" t="str">
        <f>C72</f>
        <v xml:space="preserve">M/S.SHAS DESIGN AND PRINTING </v>
      </c>
      <c r="D109" s="227"/>
      <c r="E109" s="100"/>
      <c r="G109" s="100"/>
      <c r="H109" s="100"/>
      <c r="J109" s="121"/>
      <c r="K109" s="121"/>
      <c r="L109" s="121"/>
      <c r="M109" s="121"/>
      <c r="N109" s="121"/>
    </row>
    <row r="110" spans="1:14" ht="15.5">
      <c r="A110" s="228"/>
      <c r="B110" s="229" t="str">
        <f>B73</f>
        <v>NEAR POST OFFICE, NILESHWAR</v>
      </c>
      <c r="C110" s="230" t="str">
        <f>C73</f>
        <v>NILESHWAR</v>
      </c>
      <c r="D110" s="230"/>
      <c r="E110" s="230"/>
      <c r="F110" s="230"/>
      <c r="G110" s="100"/>
      <c r="H110" s="231" t="s">
        <v>482</v>
      </c>
      <c r="I110" s="270"/>
      <c r="J110" s="271">
        <f>F78</f>
        <v>1088983.3333333333</v>
      </c>
      <c r="K110" s="271"/>
      <c r="L110" s="272"/>
      <c r="M110" s="121"/>
      <c r="N110" s="121"/>
    </row>
    <row r="111" spans="1:14" ht="15.5">
      <c r="A111" s="232" t="s">
        <v>483</v>
      </c>
      <c r="B111" s="232"/>
      <c r="C111" s="233"/>
      <c r="D111" s="233"/>
      <c r="E111" s="233"/>
      <c r="F111" s="234"/>
      <c r="G111" s="100"/>
      <c r="H111" s="235" t="s">
        <v>484</v>
      </c>
      <c r="J111" s="121">
        <f>C98</f>
        <v>292139.96666666656</v>
      </c>
      <c r="K111" s="273" t="s">
        <v>484</v>
      </c>
      <c r="L111" s="274" t="s">
        <v>485</v>
      </c>
      <c r="M111" s="121"/>
      <c r="N111" s="121"/>
    </row>
    <row r="112" spans="1:14" ht="16">
      <c r="A112" s="236" t="s">
        <v>449</v>
      </c>
      <c r="B112" s="236" t="s">
        <v>73</v>
      </c>
      <c r="C112" s="237" t="s">
        <v>73</v>
      </c>
      <c r="D112" s="237" t="s">
        <v>450</v>
      </c>
      <c r="E112" s="237" t="s">
        <v>73</v>
      </c>
      <c r="F112" s="237" t="s">
        <v>73</v>
      </c>
      <c r="G112" s="238"/>
      <c r="H112" s="239" t="s">
        <v>486</v>
      </c>
      <c r="I112" s="275"/>
      <c r="J112" s="276">
        <f>J111/J110*100</f>
        <v>26.826853793293431</v>
      </c>
      <c r="K112" s="273" t="s">
        <v>487</v>
      </c>
      <c r="L112" s="277"/>
      <c r="M112" s="121"/>
      <c r="N112" s="121"/>
    </row>
    <row r="113" spans="1:15" ht="19">
      <c r="A113" s="240" t="s">
        <v>488</v>
      </c>
      <c r="B113" s="241"/>
      <c r="C113" s="242"/>
      <c r="D113" s="243" t="s">
        <v>451</v>
      </c>
      <c r="E113" s="244"/>
      <c r="F113" s="245"/>
      <c r="G113" s="246" t="s">
        <v>456</v>
      </c>
      <c r="H113" s="234"/>
      <c r="I113" s="278"/>
      <c r="N113" s="121"/>
    </row>
    <row r="114" spans="1:15" ht="19">
      <c r="A114" s="247" t="s">
        <v>452</v>
      </c>
      <c r="B114" s="214">
        <f>'PROJECT REPORT '!F365</f>
        <v>285080</v>
      </c>
      <c r="C114" s="214"/>
      <c r="D114" s="243" t="s">
        <v>489</v>
      </c>
      <c r="E114" s="244"/>
      <c r="F114" s="245"/>
      <c r="G114" s="248">
        <f>'Depreciation Schedule'!E67</f>
        <v>18000</v>
      </c>
      <c r="H114" s="249"/>
      <c r="I114" s="270"/>
      <c r="J114" s="279"/>
      <c r="K114" s="60" t="s">
        <v>482</v>
      </c>
      <c r="L114" s="60"/>
      <c r="M114" s="279"/>
      <c r="N114" s="271"/>
      <c r="O114" s="85"/>
    </row>
    <row r="115" spans="1:15" ht="16">
      <c r="A115" s="116" t="s">
        <v>453</v>
      </c>
      <c r="B115" s="250">
        <f>C98</f>
        <v>292139.96666666656</v>
      </c>
      <c r="C115" s="214"/>
      <c r="D115" s="19" t="s">
        <v>490</v>
      </c>
      <c r="E115" s="201">
        <f>'PROJECT REPORT '!L167</f>
        <v>781000</v>
      </c>
      <c r="F115" s="245"/>
      <c r="G115" s="245"/>
      <c r="H115" s="251" t="s">
        <v>491</v>
      </c>
      <c r="I115" s="280"/>
      <c r="J115" s="276">
        <f>J110/F135</f>
        <v>0.95484930211708707</v>
      </c>
      <c r="K115" s="281" t="s">
        <v>492</v>
      </c>
      <c r="L115" s="281"/>
      <c r="M115" s="281"/>
      <c r="N115" s="273"/>
      <c r="O115" s="282"/>
    </row>
    <row r="116" spans="1:15" ht="19">
      <c r="A116" s="116"/>
      <c r="B116" s="214">
        <f>SUM(B114:B115)</f>
        <v>577219.96666666656</v>
      </c>
      <c r="C116" s="214"/>
      <c r="D116" s="100" t="s">
        <v>493</v>
      </c>
      <c r="E116" s="252">
        <f>E115*10/100/12*'PROJECT REPORT '!O62</f>
        <v>52066.666666666664</v>
      </c>
      <c r="F116" s="253">
        <f>E115-E116</f>
        <v>728933.33333333337</v>
      </c>
      <c r="G116" s="245"/>
      <c r="H116" s="245"/>
      <c r="N116" s="121"/>
    </row>
    <row r="117" spans="1:15" ht="16.5">
      <c r="A117" s="116" t="s">
        <v>494</v>
      </c>
      <c r="B117" s="254">
        <f>'PROJECT REPORT '!D662*100000</f>
        <v>40000</v>
      </c>
      <c r="D117" s="243"/>
      <c r="E117" s="245"/>
      <c r="F117" s="245"/>
      <c r="G117" s="245"/>
      <c r="H117" s="255" t="s">
        <v>495</v>
      </c>
      <c r="I117" s="270"/>
      <c r="J117" s="271">
        <f>(C78+C79)-F82</f>
        <v>242530</v>
      </c>
      <c r="K117" s="60" t="s">
        <v>496</v>
      </c>
      <c r="L117" s="60"/>
      <c r="M117" s="279"/>
      <c r="N117" s="272"/>
    </row>
    <row r="118" spans="1:15" ht="18" customHeight="1">
      <c r="A118" s="116"/>
      <c r="B118" s="214">
        <f>C118</f>
        <v>537219.96666666656</v>
      </c>
      <c r="C118" s="216">
        <f>B116-B117</f>
        <v>537219.96666666656</v>
      </c>
      <c r="D118" s="245"/>
      <c r="E118" s="245"/>
      <c r="F118" s="245"/>
      <c r="G118" s="245"/>
      <c r="H118" s="256" t="s">
        <v>497</v>
      </c>
      <c r="J118" s="21">
        <f>J117/J119</f>
        <v>3.7212121212121212</v>
      </c>
      <c r="K118" t="s">
        <v>498</v>
      </c>
      <c r="N118" s="274"/>
    </row>
    <row r="119" spans="1:15" ht="17.25" customHeight="1">
      <c r="A119" s="257" t="s">
        <v>499</v>
      </c>
      <c r="B119" s="214"/>
      <c r="C119" s="214"/>
      <c r="D119" s="258"/>
      <c r="E119" s="244"/>
      <c r="F119" s="245"/>
      <c r="G119" s="100" t="s">
        <v>456</v>
      </c>
      <c r="H119" s="259" t="s">
        <v>500</v>
      </c>
      <c r="I119" s="280"/>
      <c r="J119" s="283">
        <f>C78+F82/2</f>
        <v>65175</v>
      </c>
      <c r="K119" s="281"/>
      <c r="L119" s="281"/>
      <c r="M119" s="281"/>
      <c r="N119" s="277"/>
    </row>
    <row r="120" spans="1:15" ht="16">
      <c r="A120" s="20" t="s">
        <v>501</v>
      </c>
      <c r="B120" s="214"/>
      <c r="C120" s="214"/>
      <c r="D120" s="100"/>
      <c r="E120" s="245"/>
      <c r="F120" s="245"/>
      <c r="G120" s="100">
        <f>E116+E119+E121</f>
        <v>52066.666666666664</v>
      </c>
      <c r="H120" s="260" t="s">
        <v>502</v>
      </c>
      <c r="I120" s="284"/>
      <c r="J120" s="285">
        <f>J121/J122</f>
        <v>9.0237501740424726</v>
      </c>
      <c r="K120" s="279"/>
      <c r="L120" s="279"/>
      <c r="M120" s="279"/>
      <c r="N120" s="272"/>
    </row>
    <row r="121" spans="1:15" ht="19">
      <c r="A121" s="261" t="s">
        <v>503</v>
      </c>
      <c r="B121" s="214">
        <f>'PROJECT REPORT '!F818*100000</f>
        <v>507650</v>
      </c>
      <c r="C121" s="214"/>
      <c r="D121" s="121"/>
      <c r="E121" s="244"/>
      <c r="F121" s="245"/>
      <c r="G121" s="245" t="s">
        <v>457</v>
      </c>
      <c r="H121" s="262" t="s">
        <v>504</v>
      </c>
      <c r="J121" s="286">
        <f>F124+F125+F126+F127+F128</f>
        <v>411543.31666666653</v>
      </c>
      <c r="L121" s="273" t="str">
        <f>H121</f>
        <v>Current asset total</v>
      </c>
      <c r="N121" s="274"/>
    </row>
    <row r="122" spans="1:15" ht="16">
      <c r="A122" s="19" t="str">
        <f>'PROJECT REPORT '!H52</f>
        <v>FEDERAL BANK</v>
      </c>
      <c r="B122" s="214"/>
      <c r="C122" s="214"/>
      <c r="D122" s="240" t="s">
        <v>505</v>
      </c>
      <c r="E122" s="245"/>
      <c r="F122" s="245"/>
      <c r="G122" s="245" t="s">
        <v>458</v>
      </c>
      <c r="H122" s="263" t="s">
        <v>506</v>
      </c>
      <c r="I122" s="280"/>
      <c r="J122" s="287">
        <f>C128+C130+C131+C132+C133</f>
        <v>45606.683333333327</v>
      </c>
      <c r="K122" s="281"/>
      <c r="L122" s="283" t="str">
        <f>H122</f>
        <v>Current liabilty  total</v>
      </c>
      <c r="M122" s="281"/>
      <c r="N122" s="277"/>
    </row>
    <row r="123" spans="1:15" ht="15.5">
      <c r="A123" s="264" t="s">
        <v>507</v>
      </c>
      <c r="B123" s="130">
        <f>'PROJECT REPORT '!F814*100000</f>
        <v>50000</v>
      </c>
      <c r="D123" s="100"/>
      <c r="E123" s="245"/>
      <c r="F123" s="245"/>
      <c r="G123" s="245">
        <f>E115+E117+E120</f>
        <v>781000</v>
      </c>
      <c r="H123" s="265" t="s">
        <v>508</v>
      </c>
      <c r="I123" s="270"/>
      <c r="J123" s="285">
        <f>J124/J122</f>
        <v>9.0237501740424726</v>
      </c>
      <c r="K123" s="271"/>
      <c r="L123" s="60" t="s">
        <v>509</v>
      </c>
      <c r="M123" s="60"/>
      <c r="N123" s="288">
        <f>J124</f>
        <v>411543.31666666653</v>
      </c>
    </row>
    <row r="124" spans="1:15" ht="16">
      <c r="A124" s="19" t="str">
        <f>'PROJECT REPORT '!H52</f>
        <v>FEDERAL BANK</v>
      </c>
      <c r="B124" s="141">
        <f>C124</f>
        <v>557650</v>
      </c>
      <c r="C124" s="123">
        <f>B121+B123</f>
        <v>557650</v>
      </c>
      <c r="D124" s="100" t="s">
        <v>460</v>
      </c>
      <c r="E124" s="100"/>
      <c r="F124" s="214">
        <f>F82</f>
        <v>130350</v>
      </c>
      <c r="G124" s="245"/>
      <c r="H124" s="266" t="s">
        <v>510</v>
      </c>
      <c r="I124" s="280"/>
      <c r="J124" s="130">
        <f>F126+F125+F124+F127</f>
        <v>411543.31666666653</v>
      </c>
      <c r="K124" s="273"/>
      <c r="L124" s="283" t="s">
        <v>511</v>
      </c>
      <c r="M124" s="281"/>
      <c r="N124" s="277">
        <f>J122</f>
        <v>45606.683333333327</v>
      </c>
    </row>
    <row r="125" spans="1:15" ht="16">
      <c r="B125" s="133"/>
      <c r="C125" s="123"/>
      <c r="D125" s="245" t="s">
        <v>512</v>
      </c>
      <c r="E125" s="100"/>
      <c r="F125" s="214">
        <f>C135-F116-F118-F120-F121-F124-F126-F127-F128</f>
        <v>4022.1833333330578</v>
      </c>
      <c r="G125" s="245"/>
      <c r="H125" s="255"/>
      <c r="I125" s="270"/>
      <c r="J125" s="289"/>
      <c r="K125" s="271"/>
      <c r="L125" s="279"/>
      <c r="M125" s="279"/>
      <c r="N125" s="272"/>
    </row>
    <row r="126" spans="1:15" ht="16">
      <c r="A126" s="240" t="s">
        <v>513</v>
      </c>
      <c r="C126" s="100">
        <v>0</v>
      </c>
      <c r="D126" s="214" t="s">
        <v>514</v>
      </c>
      <c r="E126" s="245"/>
      <c r="F126" s="245">
        <f>'PROJECT REPORT '!D666*100000</f>
        <v>265171.13333333348</v>
      </c>
      <c r="G126" s="245"/>
      <c r="H126" s="256" t="s">
        <v>515</v>
      </c>
      <c r="I126" s="137"/>
      <c r="J126" s="290">
        <f>N126/N127</f>
        <v>3.998914255134757E-2</v>
      </c>
      <c r="L126" s="281" t="s">
        <v>516</v>
      </c>
      <c r="M126" s="281"/>
      <c r="N126" s="277">
        <f>C128+C130+C131+C132+C133</f>
        <v>45606.683333333327</v>
      </c>
    </row>
    <row r="127" spans="1:15" ht="15.5">
      <c r="A127" s="240" t="s">
        <v>517</v>
      </c>
      <c r="B127" s="133"/>
      <c r="D127" s="100" t="s">
        <v>518</v>
      </c>
      <c r="E127" s="245"/>
      <c r="F127" s="245">
        <f>D64</f>
        <v>12000</v>
      </c>
      <c r="G127" s="245"/>
      <c r="H127" s="259"/>
      <c r="I127" s="280"/>
      <c r="J127" s="130"/>
      <c r="K127" s="273"/>
      <c r="L127" s="273" t="s">
        <v>458</v>
      </c>
      <c r="M127" s="273"/>
      <c r="N127" s="277">
        <f>F135</f>
        <v>1140476.6499999999</v>
      </c>
    </row>
    <row r="128" spans="1:15" ht="15.5">
      <c r="A128" s="19" t="s">
        <v>519</v>
      </c>
      <c r="B128" s="133"/>
      <c r="C128" s="100">
        <f>F78*2.5/100</f>
        <v>27224.583333333328</v>
      </c>
      <c r="D128" s="100"/>
      <c r="F128" s="100"/>
      <c r="G128" s="253"/>
      <c r="H128" s="260" t="s">
        <v>520</v>
      </c>
      <c r="I128" s="291"/>
      <c r="J128" s="285">
        <f>J129/J130</f>
        <v>1.4803077288261692</v>
      </c>
      <c r="K128" s="271"/>
      <c r="L128" s="292" t="s">
        <v>521</v>
      </c>
      <c r="M128" s="288"/>
      <c r="N128" s="121"/>
    </row>
    <row r="129" spans="1:14" ht="15.5">
      <c r="A129" s="240" t="s">
        <v>522</v>
      </c>
      <c r="B129" s="133"/>
      <c r="C129" s="121"/>
      <c r="G129" s="245"/>
      <c r="H129" s="293" t="s">
        <v>521</v>
      </c>
      <c r="J129" s="121">
        <f>C124+C128+C130+C131+C132+C133</f>
        <v>603256.68333333335</v>
      </c>
      <c r="K129" s="121"/>
      <c r="L129" s="121" t="s">
        <v>523</v>
      </c>
      <c r="M129" s="274"/>
      <c r="N129" s="121"/>
    </row>
    <row r="130" spans="1:14" ht="15.5">
      <c r="A130" s="19" t="s">
        <v>524</v>
      </c>
      <c r="B130" s="133"/>
      <c r="C130" s="100">
        <f>'PROJECT REPORT '!L397</f>
        <v>400</v>
      </c>
      <c r="G130" s="245"/>
      <c r="H130" s="294" t="s">
        <v>523</v>
      </c>
      <c r="I130" s="280"/>
      <c r="J130" s="273">
        <f>F124+F127+F126</f>
        <v>407521.13333333348</v>
      </c>
      <c r="K130" s="273"/>
      <c r="L130" s="273"/>
      <c r="M130" s="277"/>
      <c r="N130" s="121"/>
    </row>
    <row r="131" spans="1:14" ht="15.5">
      <c r="A131" s="19" t="s">
        <v>525</v>
      </c>
      <c r="B131" s="133"/>
      <c r="C131" s="100">
        <f>'PROJECT REPORT '!L401</f>
        <v>100</v>
      </c>
      <c r="H131" s="245"/>
      <c r="J131" s="121"/>
      <c r="K131" s="121"/>
      <c r="L131" s="121"/>
      <c r="M131" s="121"/>
      <c r="N131" s="121"/>
    </row>
    <row r="132" spans="1:14" ht="15.5">
      <c r="A132" s="116" t="s">
        <v>526</v>
      </c>
      <c r="C132" s="100">
        <f>'PROJECT REPORT '!L413+'PROJECT REPORT '!L415/'PROJECT REPORT '!N7*12</f>
        <v>16382.1</v>
      </c>
      <c r="H132" s="255"/>
      <c r="I132" s="270"/>
      <c r="J132" s="271"/>
      <c r="K132" s="271"/>
      <c r="L132" s="292" t="s">
        <v>527</v>
      </c>
      <c r="M132" s="271"/>
      <c r="N132" s="272"/>
    </row>
    <row r="133" spans="1:14" ht="15.5">
      <c r="A133" s="19" t="s">
        <v>528</v>
      </c>
      <c r="B133" s="133"/>
      <c r="C133" s="100">
        <f>'PROJECT REPORT '!L417*300/100</f>
        <v>1500</v>
      </c>
      <c r="H133" s="256" t="s">
        <v>529</v>
      </c>
      <c r="I133" s="306"/>
      <c r="J133" s="290">
        <f>J110/J135</f>
        <v>2.9758795215820162</v>
      </c>
      <c r="K133" s="121"/>
      <c r="L133" s="121" t="s">
        <v>530</v>
      </c>
      <c r="M133" s="121"/>
      <c r="N133" s="274"/>
    </row>
    <row r="134" spans="1:14" ht="15.5">
      <c r="A134" s="19"/>
      <c r="B134" s="133"/>
      <c r="C134" s="100"/>
      <c r="G134" s="245" t="s">
        <v>462</v>
      </c>
      <c r="H134" s="256"/>
      <c r="J134" s="121"/>
      <c r="K134" s="121"/>
      <c r="L134" s="121"/>
      <c r="M134" s="121"/>
      <c r="N134" s="274"/>
    </row>
    <row r="135" spans="1:14" ht="16">
      <c r="A135" s="247" t="s">
        <v>465</v>
      </c>
      <c r="B135" s="295"/>
      <c r="C135" s="296">
        <f>SUM(C114:C134)</f>
        <v>1140476.6499999999</v>
      </c>
      <c r="D135" s="295" t="s">
        <v>466</v>
      </c>
      <c r="E135" s="295"/>
      <c r="F135" s="296">
        <f>SUM(F115:F128)</f>
        <v>1140476.6499999999</v>
      </c>
      <c r="G135" s="253">
        <f>C135-F135</f>
        <v>0</v>
      </c>
      <c r="H135" s="297" t="s">
        <v>530</v>
      </c>
      <c r="I135" s="280"/>
      <c r="J135" s="130">
        <f>J121-J122</f>
        <v>365936.63333333319</v>
      </c>
      <c r="K135" s="273"/>
      <c r="L135" s="273" t="s">
        <v>531</v>
      </c>
      <c r="M135" s="273"/>
      <c r="N135" s="277"/>
    </row>
    <row r="136" spans="1:14" ht="16">
      <c r="A136" s="20"/>
      <c r="B136" s="253"/>
      <c r="C136" s="253"/>
      <c r="D136" s="253"/>
      <c r="E136" s="253"/>
      <c r="F136" s="253"/>
      <c r="G136" s="214"/>
      <c r="H136" s="214"/>
      <c r="J136" s="121"/>
      <c r="K136" s="121"/>
      <c r="L136" s="121"/>
      <c r="M136" s="121"/>
      <c r="N136" s="121"/>
    </row>
    <row r="137" spans="1:14" ht="16">
      <c r="A137" s="212" t="str">
        <f>A103</f>
        <v>NILESHWAR</v>
      </c>
      <c r="B137" s="253"/>
      <c r="C137" s="221" t="s">
        <v>481</v>
      </c>
      <c r="D137" s="222" t="str">
        <f>D102</f>
        <v xml:space="preserve">M/S.SHAS DESIGN AND PRINTING </v>
      </c>
      <c r="E137" s="253"/>
      <c r="F137" s="253"/>
      <c r="G137" s="214"/>
      <c r="H137" s="214"/>
      <c r="J137" s="121"/>
      <c r="K137" s="121"/>
      <c r="L137" s="121"/>
      <c r="M137" s="121"/>
      <c r="N137" s="121"/>
    </row>
    <row r="138" spans="1:14" ht="16">
      <c r="A138" s="224">
        <f ca="1">A104</f>
        <v>45896</v>
      </c>
      <c r="B138" s="253"/>
      <c r="C138" s="253"/>
      <c r="D138" s="222"/>
      <c r="E138" s="253"/>
      <c r="F138" s="253"/>
      <c r="G138" s="214"/>
      <c r="H138" s="214"/>
      <c r="J138" s="121"/>
      <c r="K138" s="121"/>
      <c r="L138" s="121"/>
      <c r="M138" s="121"/>
      <c r="N138" s="121"/>
    </row>
    <row r="139" spans="1:14" ht="16">
      <c r="A139" s="20"/>
      <c r="B139" s="253"/>
      <c r="C139" s="253"/>
      <c r="D139" s="223"/>
      <c r="E139" s="253"/>
      <c r="F139" s="253"/>
      <c r="G139" s="214"/>
      <c r="H139" s="214"/>
      <c r="J139" s="121"/>
      <c r="K139" s="121"/>
      <c r="L139" s="121"/>
      <c r="M139" s="121"/>
      <c r="N139" s="121"/>
    </row>
    <row r="140" spans="1:14" ht="16">
      <c r="A140" s="20"/>
      <c r="B140" s="253"/>
      <c r="C140" s="253"/>
      <c r="D140" s="225" t="str">
        <f>D105</f>
        <v>Proprietor</v>
      </c>
      <c r="E140" s="253"/>
      <c r="F140" s="253"/>
      <c r="G140" s="214"/>
      <c r="H140" s="214"/>
      <c r="J140" s="121"/>
      <c r="K140" s="121"/>
      <c r="L140" s="121"/>
      <c r="M140" s="121"/>
      <c r="N140" s="121"/>
    </row>
    <row r="141" spans="1:14" ht="16" hidden="1">
      <c r="A141" s="20"/>
      <c r="B141" s="253"/>
      <c r="C141" s="253"/>
      <c r="D141" s="298"/>
      <c r="E141" s="253"/>
      <c r="F141" s="253"/>
      <c r="G141" s="214"/>
      <c r="H141" s="214"/>
      <c r="J141" s="121"/>
      <c r="K141" s="121"/>
      <c r="L141" s="121"/>
      <c r="M141" s="121"/>
      <c r="N141" s="121"/>
    </row>
    <row r="142" spans="1:14" ht="16">
      <c r="A142" s="20"/>
      <c r="B142" s="253"/>
      <c r="C142" s="253"/>
      <c r="D142" s="298"/>
      <c r="E142" s="253"/>
      <c r="F142" s="253"/>
      <c r="G142" s="214"/>
      <c r="H142" s="214"/>
      <c r="J142" s="121"/>
      <c r="K142" s="121"/>
      <c r="L142" s="121"/>
      <c r="M142" s="121"/>
      <c r="N142" s="121"/>
    </row>
    <row r="143" spans="1:14" ht="16.5">
      <c r="A143" s="20"/>
      <c r="B143" s="299" t="str">
        <f>B109</f>
        <v>Mr.SHAFEEK N N</v>
      </c>
      <c r="C143" s="300" t="str">
        <f>C109</f>
        <v xml:space="preserve">M/S.SHAS DESIGN AND PRINTING </v>
      </c>
      <c r="D143" s="253"/>
      <c r="E143" s="253"/>
      <c r="F143" s="253"/>
      <c r="G143" s="214"/>
      <c r="H143" s="214"/>
      <c r="J143" s="121"/>
      <c r="K143" s="121"/>
      <c r="L143" s="121"/>
      <c r="M143" s="121"/>
      <c r="N143" s="121"/>
    </row>
    <row r="144" spans="1:14" ht="15">
      <c r="A144" s="207"/>
      <c r="B144" s="301" t="str">
        <f>B110</f>
        <v>NEAR POST OFFICE, NILESHWAR</v>
      </c>
      <c r="C144" s="302" t="str">
        <f>C110</f>
        <v>NILESHWAR</v>
      </c>
      <c r="D144" s="210"/>
      <c r="E144" s="210"/>
      <c r="F144" s="210"/>
      <c r="G144" s="214"/>
      <c r="H144" s="214"/>
      <c r="J144" s="121"/>
      <c r="K144" s="121"/>
      <c r="L144" s="121"/>
      <c r="M144" s="121"/>
      <c r="N144" s="121"/>
    </row>
    <row r="145" spans="1:14" ht="15">
      <c r="A145" s="211" t="s">
        <v>532</v>
      </c>
      <c r="B145" s="211"/>
      <c r="C145" s="211"/>
      <c r="D145" s="211"/>
      <c r="E145" s="211"/>
      <c r="F145" s="212"/>
      <c r="G145" s="214"/>
      <c r="H145" s="214"/>
      <c r="J145" s="121"/>
      <c r="K145" s="121"/>
      <c r="L145" s="121"/>
      <c r="M145" s="121"/>
      <c r="N145" s="121"/>
    </row>
    <row r="146" spans="1:14" ht="15">
      <c r="A146" s="212"/>
      <c r="B146" s="212"/>
      <c r="C146" s="212"/>
      <c r="D146" s="212"/>
      <c r="E146" s="212"/>
      <c r="F146" s="212"/>
      <c r="G146" s="214"/>
      <c r="H146" s="214"/>
      <c r="J146" s="121"/>
      <c r="K146" s="121"/>
      <c r="L146" s="121"/>
      <c r="M146" s="121"/>
      <c r="N146" s="121"/>
    </row>
    <row r="147" spans="1:14" ht="15">
      <c r="A147" s="213" t="s">
        <v>533</v>
      </c>
      <c r="B147" s="213"/>
      <c r="C147" s="213" t="s">
        <v>424</v>
      </c>
      <c r="D147" s="213" t="s">
        <v>471</v>
      </c>
      <c r="E147" s="213"/>
      <c r="F147" s="213" t="s">
        <v>424</v>
      </c>
      <c r="G147" s="214"/>
      <c r="H147" s="214"/>
      <c r="J147" s="121"/>
      <c r="K147" s="121"/>
      <c r="L147" s="121"/>
      <c r="M147" s="121"/>
      <c r="N147" s="121"/>
    </row>
    <row r="148" spans="1:14" ht="15">
      <c r="A148" s="212"/>
      <c r="B148" s="212"/>
      <c r="C148" s="214"/>
      <c r="D148" s="214"/>
      <c r="E148" s="214"/>
      <c r="F148" s="214"/>
      <c r="G148" s="214"/>
      <c r="H148" s="214"/>
      <c r="J148" s="121"/>
      <c r="K148" s="121"/>
      <c r="L148" s="121"/>
      <c r="M148" s="121"/>
      <c r="N148" s="121"/>
    </row>
    <row r="149" spans="1:14" ht="15">
      <c r="A149" s="212" t="s">
        <v>425</v>
      </c>
      <c r="B149" s="212"/>
      <c r="C149" s="214">
        <f>F124</f>
        <v>130350</v>
      </c>
      <c r="D149" s="214" t="str">
        <f>D78</f>
        <v>By  Sales Revenue ( Less S. Returns)</v>
      </c>
      <c r="E149" s="214"/>
      <c r="F149" s="214">
        <f>'PROJECT REPORT '!F753*100000-'PROJECT REPORT '!F649*100000-G151</f>
        <v>1766757.4268491447</v>
      </c>
      <c r="G149" s="214"/>
      <c r="H149" s="214"/>
      <c r="J149" s="121"/>
      <c r="K149" s="121"/>
      <c r="L149" s="121"/>
      <c r="M149" s="121"/>
      <c r="N149" s="121"/>
    </row>
    <row r="150" spans="1:14" ht="15">
      <c r="A150" s="212" t="str">
        <f>A79</f>
        <v>" Purchases (Including GST)</v>
      </c>
      <c r="B150" s="212"/>
      <c r="C150" s="214">
        <f>'PROJECT REPORT '!F757*100000</f>
        <v>571630.63320000004</v>
      </c>
      <c r="D150" s="214"/>
      <c r="E150" s="214"/>
      <c r="F150" s="214"/>
      <c r="G150" s="214" t="s">
        <v>473</v>
      </c>
      <c r="H150" s="214"/>
      <c r="J150" s="121"/>
      <c r="K150" s="121"/>
      <c r="L150" s="121"/>
      <c r="M150" s="121"/>
      <c r="N150" s="121"/>
    </row>
    <row r="151" spans="1:14" ht="15">
      <c r="A151" s="212"/>
      <c r="B151" s="212"/>
      <c r="C151" s="214"/>
      <c r="D151" s="214"/>
      <c r="E151" s="214"/>
      <c r="F151" s="214"/>
      <c r="G151" s="214">
        <f>F153-C149</f>
        <v>6517.5</v>
      </c>
      <c r="H151" s="214"/>
      <c r="J151" s="121"/>
      <c r="K151" s="121"/>
      <c r="L151" s="121"/>
      <c r="M151" s="121"/>
      <c r="N151" s="121"/>
    </row>
    <row r="152" spans="1:14" ht="15">
      <c r="A152" s="212"/>
      <c r="B152" s="212"/>
      <c r="C152" s="214"/>
      <c r="D152" s="214"/>
      <c r="E152" s="214"/>
      <c r="G152" s="214"/>
      <c r="H152" s="214"/>
      <c r="J152" s="121"/>
      <c r="K152" s="121"/>
      <c r="L152" s="121"/>
      <c r="M152" s="121"/>
      <c r="N152" s="121"/>
    </row>
    <row r="153" spans="1:14" ht="15">
      <c r="A153" s="212" t="s">
        <v>429</v>
      </c>
      <c r="B153" s="212"/>
      <c r="C153" s="214">
        <f>F154-C149-C150-C152</f>
        <v>1201644.2936491447</v>
      </c>
      <c r="D153" s="214" t="s">
        <v>475</v>
      </c>
      <c r="E153" s="214"/>
      <c r="F153" s="214">
        <f>C149*105/100</f>
        <v>136867.5</v>
      </c>
      <c r="G153" s="214"/>
      <c r="H153" s="214"/>
      <c r="J153" s="121"/>
      <c r="K153" s="121"/>
      <c r="L153" s="121"/>
      <c r="M153" s="121"/>
      <c r="N153" s="121"/>
    </row>
    <row r="154" spans="1:14" ht="15">
      <c r="A154" s="211" t="s">
        <v>430</v>
      </c>
      <c r="B154" s="211"/>
      <c r="C154" s="215">
        <f>SUM(C149:C153)</f>
        <v>1903624.9268491447</v>
      </c>
      <c r="D154" s="216" t="s">
        <v>431</v>
      </c>
      <c r="E154" s="216"/>
      <c r="F154" s="215">
        <f>SUM(F148:F153)</f>
        <v>1903624.9268491447</v>
      </c>
      <c r="G154" s="214"/>
      <c r="H154" s="214"/>
      <c r="J154" s="121"/>
      <c r="K154" s="121"/>
      <c r="L154" s="121"/>
      <c r="M154" s="121"/>
      <c r="N154" s="121"/>
    </row>
    <row r="155" spans="1:14" ht="15">
      <c r="A155" s="212" t="s">
        <v>433</v>
      </c>
      <c r="B155" s="212"/>
      <c r="C155" s="214">
        <f>'PROJECT REPORT '!F763*100000</f>
        <v>384000</v>
      </c>
      <c r="D155" s="212" t="s">
        <v>432</v>
      </c>
      <c r="E155" s="214"/>
      <c r="F155" s="214">
        <f>C153</f>
        <v>1201644.2936491447</v>
      </c>
      <c r="G155" s="214"/>
      <c r="H155" s="214"/>
      <c r="J155" s="121"/>
      <c r="K155" s="121"/>
      <c r="L155" s="121"/>
      <c r="M155" s="121"/>
      <c r="N155" s="121"/>
    </row>
    <row r="156" spans="1:14" ht="15">
      <c r="A156" s="212" t="s">
        <v>434</v>
      </c>
      <c r="B156" s="212"/>
      <c r="C156" s="214">
        <f>'PROJECT REPORT '!F779*100000</f>
        <v>4800</v>
      </c>
      <c r="D156" s="212"/>
      <c r="E156" s="214"/>
      <c r="F156" s="214"/>
      <c r="G156" s="214"/>
      <c r="H156" s="214"/>
      <c r="I156" s="269"/>
      <c r="J156" s="121"/>
      <c r="K156" s="121"/>
      <c r="L156" s="121"/>
      <c r="M156" s="121"/>
      <c r="N156" s="121"/>
    </row>
    <row r="157" spans="1:14" ht="15">
      <c r="A157" s="212" t="s">
        <v>435</v>
      </c>
      <c r="B157" s="212"/>
      <c r="C157" s="214">
        <f>'PROJECT REPORT '!F761*100000</f>
        <v>6000</v>
      </c>
      <c r="D157" s="212"/>
      <c r="E157" s="214"/>
      <c r="F157" s="214"/>
      <c r="G157" s="214"/>
      <c r="H157" s="214"/>
      <c r="J157" s="121"/>
      <c r="K157" s="121"/>
      <c r="L157" s="121"/>
      <c r="M157" s="121"/>
      <c r="N157" s="121"/>
    </row>
    <row r="158" spans="1:14" ht="15">
      <c r="A158" s="212" t="s">
        <v>436</v>
      </c>
      <c r="B158" s="212"/>
      <c r="C158" s="214">
        <f>'PROJECT REPORT '!F786*100000</f>
        <v>10799.999999999998</v>
      </c>
      <c r="D158" s="212"/>
      <c r="E158" s="214"/>
      <c r="F158" s="214"/>
      <c r="G158" s="214"/>
      <c r="H158" s="214"/>
      <c r="J158" s="121"/>
      <c r="K158" s="121"/>
      <c r="L158" s="121"/>
      <c r="M158" s="121"/>
      <c r="N158" s="121"/>
    </row>
    <row r="159" spans="1:14" ht="15">
      <c r="A159" s="212" t="s">
        <v>437</v>
      </c>
      <c r="B159" s="212"/>
      <c r="C159" s="214">
        <f>'PROJECT REPORT '!F769*100000</f>
        <v>1200</v>
      </c>
      <c r="D159" s="212"/>
      <c r="E159" s="214"/>
      <c r="F159" s="214"/>
      <c r="G159" s="214"/>
      <c r="H159" s="214"/>
      <c r="J159" s="121"/>
      <c r="K159" s="121"/>
      <c r="L159" s="121"/>
      <c r="M159" s="121"/>
      <c r="N159" s="121"/>
    </row>
    <row r="160" spans="1:14" ht="15">
      <c r="A160" s="212" t="s">
        <v>476</v>
      </c>
      <c r="B160" s="212"/>
      <c r="C160" s="214">
        <f>'PROJECT REPORT '!F765*100000</f>
        <v>7199.9999999999991</v>
      </c>
      <c r="D160" s="212"/>
      <c r="E160" s="214"/>
      <c r="F160" s="214"/>
      <c r="G160" s="214"/>
      <c r="H160" s="214"/>
      <c r="J160" s="121"/>
      <c r="K160" s="121"/>
      <c r="L160" s="121"/>
      <c r="M160" s="121"/>
      <c r="N160" s="121"/>
    </row>
    <row r="161" spans="1:14" ht="15">
      <c r="A161" s="212" t="s">
        <v>440</v>
      </c>
      <c r="B161" s="212"/>
      <c r="C161" s="214">
        <f>'PROJECT REPORT '!F767*100000</f>
        <v>1200</v>
      </c>
      <c r="D161" s="212"/>
      <c r="E161" s="214"/>
      <c r="F161" s="214"/>
      <c r="G161" s="214"/>
      <c r="H161" s="214"/>
      <c r="J161" s="121"/>
      <c r="K161" s="121"/>
      <c r="L161" s="121"/>
      <c r="M161" s="121"/>
      <c r="N161" s="121"/>
    </row>
    <row r="162" spans="1:14" ht="15">
      <c r="A162" s="212" t="s">
        <v>477</v>
      </c>
      <c r="B162" s="212"/>
      <c r="C162" s="214">
        <f>'PROJECT REPORT '!F660*100000</f>
        <v>45227.437500000007</v>
      </c>
      <c r="D162" s="212"/>
      <c r="E162" s="214"/>
      <c r="F162" s="214"/>
      <c r="G162" s="214"/>
      <c r="H162" s="214"/>
      <c r="J162" s="121"/>
      <c r="K162" s="121"/>
      <c r="L162" s="121"/>
      <c r="M162" s="121"/>
      <c r="N162" s="121"/>
    </row>
    <row r="163" spans="1:14" ht="15">
      <c r="A163" s="212" t="s">
        <v>441</v>
      </c>
      <c r="B163" s="212"/>
      <c r="C163" s="214">
        <f>'PROJECT REPORT '!F771*100000</f>
        <v>12000</v>
      </c>
      <c r="D163" s="212"/>
      <c r="E163" s="214"/>
      <c r="F163" s="214"/>
      <c r="G163" s="214"/>
      <c r="H163" s="214"/>
      <c r="J163" s="121"/>
      <c r="K163" s="121"/>
      <c r="L163" s="121"/>
      <c r="M163" s="121"/>
      <c r="N163" s="121"/>
    </row>
    <row r="164" spans="1:14" ht="15">
      <c r="A164" s="212" t="s">
        <v>442</v>
      </c>
      <c r="B164" s="212"/>
      <c r="C164" s="214">
        <f>G187</f>
        <v>72893.333333333343</v>
      </c>
      <c r="D164" s="212"/>
      <c r="E164" s="214"/>
      <c r="F164" s="214"/>
      <c r="G164" s="214"/>
      <c r="H164" s="214"/>
      <c r="J164" s="121"/>
      <c r="K164" s="121"/>
      <c r="L164" s="121"/>
      <c r="M164" s="121"/>
      <c r="N164" s="121"/>
    </row>
    <row r="165" spans="1:14" ht="15">
      <c r="A165" s="212" t="s">
        <v>443</v>
      </c>
      <c r="B165" s="212"/>
      <c r="C165" s="214">
        <f>'PROJECT REPORT '!F759*100000</f>
        <v>66000</v>
      </c>
      <c r="D165" s="212"/>
      <c r="E165" s="214"/>
      <c r="F165" s="214"/>
      <c r="G165" s="214" t="s">
        <v>438</v>
      </c>
      <c r="H165" s="214"/>
      <c r="J165" s="121"/>
      <c r="K165" s="121"/>
      <c r="L165" s="121"/>
      <c r="M165" s="121"/>
      <c r="N165" s="121"/>
    </row>
    <row r="166" spans="1:14" ht="15">
      <c r="A166" s="212" t="str">
        <f>A95</f>
        <v>" GST Paid</v>
      </c>
      <c r="B166" s="212"/>
      <c r="C166" s="214">
        <f>'PROJECT REPORT '!F773*100000</f>
        <v>193680.00000000003</v>
      </c>
      <c r="D166" s="212"/>
      <c r="E166" s="214"/>
      <c r="F166" s="214"/>
      <c r="G166" s="214">
        <f>'PROJECT REPORT '!F796*100000</f>
        <v>388106.7228158114</v>
      </c>
      <c r="H166" s="214"/>
      <c r="J166" s="121"/>
      <c r="K166" s="121"/>
      <c r="L166" s="121"/>
      <c r="M166" s="121"/>
      <c r="N166" s="121"/>
    </row>
    <row r="167" spans="1:14" ht="15">
      <c r="A167" s="212" t="str">
        <f>A96</f>
        <v>" Cess Paid</v>
      </c>
      <c r="B167" s="212"/>
      <c r="C167" s="214">
        <f>'PROJECT REPORT '!F775*100000</f>
        <v>1936.8000000000004</v>
      </c>
      <c r="D167" s="212"/>
      <c r="E167" s="214"/>
      <c r="F167" s="214"/>
      <c r="G167" s="214"/>
      <c r="H167" s="214"/>
      <c r="J167" s="121"/>
      <c r="K167" s="121"/>
      <c r="L167" s="121"/>
      <c r="M167" s="121"/>
      <c r="N167" s="121"/>
    </row>
    <row r="168" spans="1:14" ht="15">
      <c r="A168" s="212" t="str">
        <f>A97</f>
        <v>" Audit fee Paid</v>
      </c>
      <c r="B168" s="212"/>
      <c r="C168" s="214">
        <f>'PROJECT REPORT '!F777*100000</f>
        <v>6600</v>
      </c>
      <c r="D168" s="212"/>
      <c r="E168" s="214"/>
      <c r="F168" s="214"/>
      <c r="G168" s="214">
        <f>G166-C169</f>
        <v>0</v>
      </c>
      <c r="H168" s="214"/>
      <c r="J168" s="121"/>
      <c r="K168" s="121"/>
      <c r="L168" s="121"/>
      <c r="M168" s="121"/>
      <c r="N168" s="121"/>
    </row>
    <row r="169" spans="1:14" ht="15">
      <c r="A169" s="212" t="s">
        <v>444</v>
      </c>
      <c r="B169" s="212"/>
      <c r="C169" s="214">
        <f>F171-C155-C156-C157-C158-C159-C160-C161-C162-C163-C164-C165-C166-C167-C168</f>
        <v>388106.72281581134</v>
      </c>
      <c r="D169" s="212"/>
      <c r="E169" s="214"/>
      <c r="F169" s="214"/>
      <c r="G169" s="214"/>
      <c r="H169" s="214"/>
      <c r="J169" s="121"/>
      <c r="K169" s="121"/>
      <c r="L169" s="121"/>
      <c r="M169" s="121"/>
      <c r="N169" s="121"/>
    </row>
    <row r="170" spans="1:14" ht="15" hidden="1">
      <c r="A170" s="212"/>
      <c r="B170" s="212"/>
      <c r="C170" s="217"/>
      <c r="D170" s="214"/>
      <c r="E170" s="214"/>
      <c r="F170" s="214"/>
      <c r="G170" s="214"/>
      <c r="H170" s="214"/>
      <c r="J170" s="121"/>
      <c r="K170" s="121"/>
      <c r="L170" s="121"/>
      <c r="M170" s="121"/>
      <c r="N170" s="121"/>
    </row>
    <row r="171" spans="1:14" ht="15">
      <c r="A171" s="211" t="s">
        <v>445</v>
      </c>
      <c r="B171" s="211"/>
      <c r="C171" s="218">
        <f>SUM(C155:C170)</f>
        <v>1201644.2936491447</v>
      </c>
      <c r="D171" s="216" t="s">
        <v>446</v>
      </c>
      <c r="E171" s="216"/>
      <c r="F171" s="218">
        <f>SUM(F155:F170)</f>
        <v>1201644.2936491447</v>
      </c>
      <c r="G171" s="214"/>
      <c r="H171" s="214"/>
      <c r="J171" s="121"/>
      <c r="K171" s="121"/>
      <c r="L171" s="121"/>
      <c r="M171" s="121"/>
      <c r="N171" s="121"/>
    </row>
    <row r="172" spans="1:14" ht="15">
      <c r="A172" s="219"/>
      <c r="B172" s="219"/>
      <c r="C172" s="220"/>
      <c r="D172" s="220"/>
      <c r="E172" s="220"/>
      <c r="F172" s="220"/>
      <c r="G172" s="214"/>
      <c r="H172" s="214"/>
      <c r="J172" s="121"/>
      <c r="K172" s="121"/>
      <c r="L172" s="121"/>
      <c r="M172" s="121"/>
      <c r="N172" s="121"/>
    </row>
    <row r="173" spans="1:14" ht="15">
      <c r="A173" s="212"/>
      <c r="B173" s="212"/>
      <c r="C173" s="221" t="s">
        <v>481</v>
      </c>
      <c r="D173" s="303" t="str">
        <f>D137</f>
        <v xml:space="preserve">M/S.SHAS DESIGN AND PRINTING </v>
      </c>
      <c r="E173" s="214"/>
      <c r="F173" s="214"/>
      <c r="G173" s="214"/>
      <c r="H173" s="214"/>
      <c r="J173" s="121"/>
      <c r="K173" s="121"/>
      <c r="L173" s="121"/>
      <c r="M173" s="121"/>
      <c r="N173" s="121"/>
    </row>
    <row r="174" spans="1:14" ht="15.5">
      <c r="A174" s="212" t="str">
        <f>A137</f>
        <v>NILESHWAR</v>
      </c>
      <c r="B174" s="212"/>
      <c r="C174" s="214"/>
      <c r="D174" s="223"/>
      <c r="F174" s="214"/>
      <c r="G174" s="214"/>
      <c r="H174" s="214"/>
      <c r="J174" s="121"/>
      <c r="K174" s="121"/>
      <c r="L174" s="121"/>
      <c r="M174" s="121"/>
      <c r="N174" s="121"/>
    </row>
    <row r="175" spans="1:14" ht="16">
      <c r="A175" s="224">
        <f ca="1">A138</f>
        <v>45896</v>
      </c>
      <c r="B175" s="212"/>
      <c r="C175" s="214"/>
      <c r="D175" s="303"/>
      <c r="E175" s="214"/>
      <c r="F175" s="214"/>
      <c r="H175" s="100"/>
      <c r="J175" s="121"/>
      <c r="K175" s="121"/>
      <c r="L175" s="121"/>
      <c r="M175" s="121"/>
      <c r="N175" s="121"/>
    </row>
    <row r="176" spans="1:14" ht="16">
      <c r="A176" s="212"/>
      <c r="B176" s="212"/>
      <c r="C176" s="214"/>
      <c r="D176" s="225" t="str">
        <f>D140</f>
        <v>Proprietor</v>
      </c>
      <c r="E176" s="214"/>
      <c r="F176" s="214"/>
      <c r="G176" s="214"/>
      <c r="H176" s="100"/>
      <c r="J176" s="121"/>
      <c r="K176" s="121"/>
      <c r="L176" s="121"/>
      <c r="M176" s="121"/>
      <c r="N176" s="121"/>
    </row>
    <row r="177" spans="1:15" ht="16" hidden="1">
      <c r="A177" s="212"/>
      <c r="B177" s="212"/>
      <c r="C177" s="214"/>
      <c r="D177" s="192"/>
      <c r="E177" s="214"/>
      <c r="F177" s="214"/>
      <c r="G177" s="214"/>
      <c r="H177" s="100"/>
      <c r="J177" s="121"/>
      <c r="K177" s="121"/>
      <c r="L177" s="121"/>
      <c r="M177" s="121"/>
      <c r="N177" s="121"/>
    </row>
    <row r="178" spans="1:15" ht="16">
      <c r="A178" s="212"/>
      <c r="B178" s="212"/>
      <c r="C178" s="214"/>
      <c r="D178" s="192"/>
      <c r="E178" s="214"/>
      <c r="F178" s="214"/>
      <c r="G178" s="214"/>
      <c r="H178" s="100"/>
      <c r="J178" s="121"/>
      <c r="K178" s="121"/>
      <c r="L178" s="121"/>
      <c r="M178" s="121"/>
      <c r="N178" s="121"/>
    </row>
    <row r="179" spans="1:15" ht="16.5">
      <c r="B179" s="122" t="str">
        <f>B143</f>
        <v>Mr.SHAFEEK N N</v>
      </c>
      <c r="C179" s="226" t="str">
        <f>C143</f>
        <v xml:space="preserve">M/S.SHAS DESIGN AND PRINTING </v>
      </c>
      <c r="D179" s="100"/>
      <c r="E179" s="100"/>
      <c r="G179" s="214"/>
      <c r="H179" s="100"/>
      <c r="J179" s="121"/>
      <c r="K179" s="121"/>
      <c r="L179" s="121"/>
      <c r="M179" s="121"/>
      <c r="N179" s="121"/>
    </row>
    <row r="180" spans="1:15" ht="15">
      <c r="A180" s="207"/>
      <c r="B180" s="301" t="str">
        <f>B144</f>
        <v>NEAR POST OFFICE, NILESHWAR</v>
      </c>
      <c r="C180" s="230" t="str">
        <f>C144</f>
        <v>NILESHWAR</v>
      </c>
      <c r="D180" s="230"/>
      <c r="E180" s="230"/>
      <c r="F180" s="230"/>
      <c r="G180" s="214"/>
      <c r="H180" s="234"/>
      <c r="J180" s="121"/>
      <c r="K180" s="121"/>
      <c r="L180" s="121"/>
      <c r="M180" s="121"/>
      <c r="N180" s="121"/>
    </row>
    <row r="181" spans="1:15" ht="16">
      <c r="A181" s="232" t="s">
        <v>534</v>
      </c>
      <c r="B181" s="232"/>
      <c r="C181" s="233"/>
      <c r="D181" s="233"/>
      <c r="E181" s="233"/>
      <c r="F181" s="234"/>
      <c r="G181" s="214"/>
      <c r="H181" s="234"/>
      <c r="J181" s="19"/>
      <c r="K181" s="201"/>
      <c r="L181" s="19"/>
      <c r="M181" s="19"/>
      <c r="N181" s="121"/>
    </row>
    <row r="182" spans="1:15" ht="16">
      <c r="A182" s="236" t="s">
        <v>449</v>
      </c>
      <c r="B182" s="236" t="s">
        <v>73</v>
      </c>
      <c r="C182" s="237" t="s">
        <v>73</v>
      </c>
      <c r="D182" s="237" t="s">
        <v>450</v>
      </c>
      <c r="E182" s="237" t="s">
        <v>73</v>
      </c>
      <c r="F182" s="237" t="s">
        <v>73</v>
      </c>
      <c r="G182" s="100"/>
      <c r="H182" s="231" t="s">
        <v>482</v>
      </c>
      <c r="I182" s="270"/>
      <c r="J182" s="271">
        <f>F149</f>
        <v>1766757.4268491447</v>
      </c>
      <c r="K182" s="271"/>
      <c r="L182" s="272"/>
      <c r="M182" s="121"/>
      <c r="N182" s="121"/>
    </row>
    <row r="183" spans="1:15" ht="19">
      <c r="A183" s="304" t="str">
        <f>A113</f>
        <v>NON CURRENT LIABILITIES</v>
      </c>
      <c r="B183" s="241"/>
      <c r="C183" s="242"/>
      <c r="D183" s="243" t="s">
        <v>451</v>
      </c>
      <c r="E183" s="244"/>
      <c r="F183" s="245"/>
      <c r="G183" s="234"/>
      <c r="H183" s="235" t="s">
        <v>484</v>
      </c>
      <c r="J183" s="121">
        <f>C169</f>
        <v>388106.72281581134</v>
      </c>
      <c r="K183" s="273" t="s">
        <v>484</v>
      </c>
      <c r="L183" s="274" t="s">
        <v>485</v>
      </c>
      <c r="M183" s="121"/>
      <c r="N183" s="121"/>
    </row>
    <row r="184" spans="1:15" ht="19">
      <c r="A184" s="247" t="s">
        <v>452</v>
      </c>
      <c r="B184" s="214">
        <f>C118</f>
        <v>537219.96666666656</v>
      </c>
      <c r="C184" s="214"/>
      <c r="D184" s="243" t="s">
        <v>489</v>
      </c>
      <c r="E184" s="244"/>
      <c r="F184" s="245"/>
      <c r="G184" s="234"/>
      <c r="H184" s="239" t="s">
        <v>486</v>
      </c>
      <c r="I184" s="275"/>
      <c r="J184" s="276">
        <f>J183/J182*100</f>
        <v>21.967176530168338</v>
      </c>
      <c r="K184" s="273" t="s">
        <v>487</v>
      </c>
      <c r="L184" s="277"/>
      <c r="M184" s="121"/>
      <c r="N184" s="121"/>
    </row>
    <row r="185" spans="1:15" ht="16">
      <c r="A185" s="116" t="s">
        <v>453</v>
      </c>
      <c r="B185" s="250">
        <f>C169</f>
        <v>388106.72281581134</v>
      </c>
      <c r="C185" s="214"/>
      <c r="D185" s="19" t="str">
        <f>D115</f>
        <v>MACHINERY &amp; FITTINGS</v>
      </c>
      <c r="E185" s="201">
        <f>F116</f>
        <v>728933.33333333337</v>
      </c>
      <c r="F185" s="245"/>
      <c r="G185" s="100">
        <f>C556</f>
        <v>0</v>
      </c>
      <c r="H185" s="234"/>
      <c r="I185" s="278"/>
      <c r="N185" s="121"/>
    </row>
    <row r="186" spans="1:15" ht="19">
      <c r="A186" s="116"/>
      <c r="B186" s="214">
        <f>SUM(B184:B185)</f>
        <v>925326.68948247796</v>
      </c>
      <c r="C186" s="214"/>
      <c r="D186" s="100" t="s">
        <v>454</v>
      </c>
      <c r="E186" s="244">
        <f>E185*10/100</f>
        <v>72893.333333333343</v>
      </c>
      <c r="F186" s="245">
        <f>E185-E186</f>
        <v>656040</v>
      </c>
      <c r="G186" s="100" t="s">
        <v>456</v>
      </c>
      <c r="H186" s="249"/>
      <c r="I186" s="270"/>
      <c r="J186" s="279"/>
      <c r="K186" s="60" t="s">
        <v>482</v>
      </c>
      <c r="L186" s="60"/>
      <c r="M186" s="279"/>
      <c r="N186" s="271"/>
      <c r="O186" s="85"/>
    </row>
    <row r="187" spans="1:15" ht="20.5">
      <c r="A187" s="116" t="s">
        <v>455</v>
      </c>
      <c r="B187" s="254">
        <f>'PROJECT REPORT '!F662*100000</f>
        <v>60000</v>
      </c>
      <c r="D187" s="258"/>
      <c r="E187" s="244"/>
      <c r="F187" s="245"/>
      <c r="G187" s="100">
        <f>E186</f>
        <v>72893.333333333343</v>
      </c>
      <c r="H187" s="251" t="s">
        <v>491</v>
      </c>
      <c r="I187" s="280"/>
      <c r="J187" s="276">
        <f>J182/(F135+F204)/2</f>
        <v>0.35944477922692064</v>
      </c>
      <c r="K187" s="281" t="s">
        <v>492</v>
      </c>
      <c r="L187" s="281"/>
      <c r="M187" s="281"/>
      <c r="N187" s="273"/>
      <c r="O187" s="282"/>
    </row>
    <row r="188" spans="1:15" ht="19">
      <c r="B188" s="214">
        <f>C188</f>
        <v>865326.68948247796</v>
      </c>
      <c r="C188" s="216">
        <f>B186-B187</f>
        <v>865326.68948247796</v>
      </c>
      <c r="D188" s="100"/>
      <c r="E188" s="244"/>
      <c r="F188" s="245"/>
      <c r="G188" s="245" t="s">
        <v>457</v>
      </c>
      <c r="H188" s="245"/>
      <c r="N188" s="121"/>
    </row>
    <row r="189" spans="1:15" ht="20.5">
      <c r="A189" s="257" t="str">
        <f>A119</f>
        <v>LONG TERM CURRENT LIABILITIES</v>
      </c>
      <c r="B189" s="214"/>
      <c r="C189" s="216"/>
      <c r="D189" s="258"/>
      <c r="E189" s="244"/>
      <c r="F189" s="245"/>
      <c r="G189" s="245" t="s">
        <v>458</v>
      </c>
      <c r="H189" s="255" t="s">
        <v>495</v>
      </c>
      <c r="I189" s="270"/>
      <c r="J189" s="271">
        <f>C149+C150-F153</f>
        <v>565113.13320000004</v>
      </c>
      <c r="K189" s="60" t="s">
        <v>496</v>
      </c>
      <c r="L189" s="60"/>
      <c r="M189" s="279"/>
      <c r="N189" s="272"/>
    </row>
    <row r="190" spans="1:15" ht="16">
      <c r="A190" s="257" t="s">
        <v>501</v>
      </c>
      <c r="B190" s="214"/>
      <c r="C190" s="214"/>
      <c r="D190" s="100"/>
      <c r="E190" s="245"/>
      <c r="F190" s="245"/>
      <c r="G190" s="245">
        <f>E185</f>
        <v>728933.33333333337</v>
      </c>
      <c r="H190" s="256" t="s">
        <v>497</v>
      </c>
      <c r="J190" s="290">
        <f>J189/J191</f>
        <v>2.8428537704918035</v>
      </c>
      <c r="K190" t="s">
        <v>498</v>
      </c>
      <c r="N190" s="274"/>
    </row>
    <row r="191" spans="1:15" ht="16">
      <c r="A191" s="305" t="str">
        <f>A121</f>
        <v>TERM LOAN</v>
      </c>
      <c r="B191" s="214"/>
      <c r="C191" s="214"/>
      <c r="D191" s="240" t="s">
        <v>505</v>
      </c>
      <c r="E191" s="245"/>
      <c r="F191" s="245"/>
      <c r="G191" s="121"/>
      <c r="H191" s="259" t="s">
        <v>500</v>
      </c>
      <c r="I191" s="280"/>
      <c r="J191" s="283">
        <f>C149+F153/2</f>
        <v>198783.75</v>
      </c>
      <c r="K191" s="281"/>
      <c r="L191" s="281"/>
      <c r="M191" s="281"/>
      <c r="N191" s="277"/>
    </row>
    <row r="192" spans="1:15" ht="16">
      <c r="A192" s="116" t="str">
        <f>A122</f>
        <v>FEDERAL BANK</v>
      </c>
      <c r="B192" s="214">
        <f>'PROJECT REPORT '!H818*100000</f>
        <v>380737.50000000006</v>
      </c>
      <c r="C192" s="214"/>
      <c r="D192" s="100"/>
      <c r="E192" s="245"/>
      <c r="F192" s="245"/>
      <c r="G192" s="245"/>
      <c r="H192" s="260" t="s">
        <v>502</v>
      </c>
      <c r="I192" s="284"/>
      <c r="J192" s="285">
        <f>J193/J194</f>
        <v>31.362747317814669</v>
      </c>
      <c r="K192" s="279"/>
      <c r="L192" s="279"/>
      <c r="M192" s="279"/>
      <c r="N192" s="272"/>
    </row>
    <row r="193" spans="1:14" ht="16">
      <c r="A193" s="261" t="str">
        <f>A123</f>
        <v>CASH CREDIT</v>
      </c>
      <c r="B193" s="214"/>
      <c r="C193" s="214"/>
      <c r="D193" s="100" t="s">
        <v>460</v>
      </c>
      <c r="E193" s="100"/>
      <c r="F193" s="214">
        <f>F153</f>
        <v>136867.5</v>
      </c>
      <c r="H193" s="262" t="s">
        <v>504</v>
      </c>
      <c r="J193" s="286">
        <f>F193+F194+F195+F196+F197</f>
        <v>661103.44765312946</v>
      </c>
      <c r="L193" s="273" t="str">
        <f>H193</f>
        <v>Current asset total</v>
      </c>
      <c r="N193" s="274"/>
    </row>
    <row r="194" spans="1:14" ht="16">
      <c r="A194" s="116" t="str">
        <f>A124</f>
        <v>FEDERAL BANK</v>
      </c>
      <c r="B194" s="130">
        <f>'PROJECT REPORT '!H814*100000</f>
        <v>50000</v>
      </c>
      <c r="D194" s="245" t="s">
        <v>535</v>
      </c>
      <c r="E194" s="100"/>
      <c r="F194" s="214">
        <f>C204-F186-F188-F190-F193-F195-F196-F197</f>
        <v>275490.32900398481</v>
      </c>
      <c r="H194" s="263" t="s">
        <v>506</v>
      </c>
      <c r="I194" s="280"/>
      <c r="J194" s="287">
        <f>C198+C200+C201+C202+C203</f>
        <v>21079.258170651698</v>
      </c>
      <c r="K194" s="281"/>
      <c r="L194" s="283" t="str">
        <f>H194</f>
        <v>Current liabilty  total</v>
      </c>
      <c r="M194" s="281"/>
      <c r="N194" s="277"/>
    </row>
    <row r="195" spans="1:14" ht="16">
      <c r="B195" s="141">
        <f>C195</f>
        <v>430737.50000000006</v>
      </c>
      <c r="C195" s="123">
        <f>B192+B194</f>
        <v>430737.50000000006</v>
      </c>
      <c r="D195" s="214" t="s">
        <v>464</v>
      </c>
      <c r="E195" s="245"/>
      <c r="F195" s="245">
        <f>'PROJECT REPORT '!F666*100000</f>
        <v>223146.01864914471</v>
      </c>
      <c r="H195" s="265" t="s">
        <v>508</v>
      </c>
      <c r="I195" s="270"/>
      <c r="J195" s="285">
        <f>J196/J194</f>
        <v>31.362747317814669</v>
      </c>
      <c r="K195" s="271"/>
      <c r="L195" s="60" t="s">
        <v>509</v>
      </c>
      <c r="M195" s="60"/>
      <c r="N195" s="288">
        <f>J196</f>
        <v>661103.44765312946</v>
      </c>
    </row>
    <row r="196" spans="1:14" ht="15.5">
      <c r="A196" s="240" t="s">
        <v>513</v>
      </c>
      <c r="B196" s="141"/>
      <c r="C196" s="123"/>
      <c r="D196" s="100" t="s">
        <v>518</v>
      </c>
      <c r="E196" s="245"/>
      <c r="F196" s="245">
        <f>F127*213.33/100</f>
        <v>25599.599999999999</v>
      </c>
      <c r="H196" s="266" t="s">
        <v>510</v>
      </c>
      <c r="I196" s="280"/>
      <c r="J196" s="130">
        <f>F195+F194+F193+F196</f>
        <v>661103.44765312946</v>
      </c>
      <c r="K196" s="273"/>
      <c r="L196" s="283" t="s">
        <v>511</v>
      </c>
      <c r="M196" s="281"/>
      <c r="N196" s="277">
        <f>J194</f>
        <v>21079.258170651698</v>
      </c>
    </row>
    <row r="197" spans="1:14" ht="15.5">
      <c r="A197" s="240" t="s">
        <v>517</v>
      </c>
      <c r="B197" s="141"/>
      <c r="C197" s="123"/>
      <c r="D197" s="100"/>
      <c r="F197" s="100"/>
      <c r="H197" s="255"/>
      <c r="I197" s="270"/>
      <c r="J197" s="289"/>
      <c r="K197" s="271"/>
      <c r="L197" s="279"/>
      <c r="M197" s="279"/>
      <c r="N197" s="272"/>
    </row>
    <row r="198" spans="1:14" ht="15.5">
      <c r="A198" s="19" t="s">
        <v>536</v>
      </c>
      <c r="B198" s="133"/>
      <c r="C198" s="100">
        <f>F149*0.211/100</f>
        <v>3727.8581706516952</v>
      </c>
      <c r="D198" s="100"/>
      <c r="F198" s="100"/>
      <c r="H198" s="256" t="s">
        <v>515</v>
      </c>
      <c r="I198" s="137"/>
      <c r="J198" s="290">
        <f>N198/N199</f>
        <v>1.6003768008875926E-2</v>
      </c>
      <c r="L198" s="281" t="s">
        <v>516</v>
      </c>
      <c r="M198" s="281"/>
      <c r="N198" s="277">
        <f>C198+C200+C201+C202+C203</f>
        <v>21079.258170651698</v>
      </c>
    </row>
    <row r="199" spans="1:14" ht="15.5">
      <c r="A199" s="240" t="s">
        <v>537</v>
      </c>
      <c r="D199" s="100"/>
      <c r="F199" s="100"/>
      <c r="H199" s="259"/>
      <c r="I199" s="280"/>
      <c r="J199" s="130"/>
      <c r="K199" s="273"/>
      <c r="L199" s="273" t="s">
        <v>458</v>
      </c>
      <c r="M199" s="273"/>
      <c r="N199" s="277">
        <f>F204</f>
        <v>1317143.4476531297</v>
      </c>
    </row>
    <row r="200" spans="1:14" ht="15.5">
      <c r="A200" s="19" t="s">
        <v>524</v>
      </c>
      <c r="B200" s="133"/>
      <c r="C200" s="100">
        <f>'PROJECT REPORT '!F779/12*100000</f>
        <v>400</v>
      </c>
      <c r="D200" s="100"/>
      <c r="E200" s="245"/>
      <c r="F200" s="245"/>
      <c r="H200" s="260" t="s">
        <v>520</v>
      </c>
      <c r="I200" s="291"/>
      <c r="J200" s="285">
        <f>J201/J202</f>
        <v>1.1716840955863417</v>
      </c>
      <c r="K200" s="271"/>
      <c r="L200" s="292" t="s">
        <v>521</v>
      </c>
      <c r="M200" s="288"/>
      <c r="N200" s="121"/>
    </row>
    <row r="201" spans="1:14" ht="18.5">
      <c r="A201" s="19" t="s">
        <v>525</v>
      </c>
      <c r="B201" s="133"/>
      <c r="C201" s="100">
        <f>'PROJECT REPORT '!F769/12*100000</f>
        <v>100</v>
      </c>
      <c r="D201" s="100"/>
      <c r="E201" s="244"/>
      <c r="F201" s="245"/>
      <c r="H201" s="293" t="s">
        <v>521</v>
      </c>
      <c r="J201" s="121">
        <f>C195+C198+C200+C201+C202+C203</f>
        <v>451816.7581706518</v>
      </c>
      <c r="K201" s="121"/>
      <c r="L201" s="121" t="s">
        <v>523</v>
      </c>
      <c r="M201" s="274"/>
      <c r="N201" s="121"/>
    </row>
    <row r="202" spans="1:14" ht="18.5">
      <c r="A202" s="116" t="s">
        <v>538</v>
      </c>
      <c r="C202" s="100">
        <f>('PROJECT REPORT '!F773+'PROJECT REPORT '!F775)*100000/12</f>
        <v>16301.400000000003</v>
      </c>
      <c r="D202" s="100"/>
      <c r="E202" s="244"/>
      <c r="F202" s="245"/>
      <c r="G202" s="253"/>
      <c r="H202" s="294" t="s">
        <v>523</v>
      </c>
      <c r="I202" s="280"/>
      <c r="J202" s="273">
        <f>F195+F196+F197+F193</f>
        <v>385613.11864914472</v>
      </c>
      <c r="K202" s="273"/>
      <c r="L202" s="273"/>
      <c r="M202" s="277"/>
      <c r="N202" s="121"/>
    </row>
    <row r="203" spans="1:14" ht="18.5">
      <c r="A203" s="19" t="s">
        <v>528</v>
      </c>
      <c r="B203" s="133"/>
      <c r="C203" s="100">
        <f>'PROJECT REPORT '!F777/12*100000</f>
        <v>550</v>
      </c>
      <c r="D203" s="100"/>
      <c r="E203" s="244"/>
      <c r="F203" s="245"/>
      <c r="G203" s="245" t="s">
        <v>462</v>
      </c>
      <c r="H203" s="245"/>
      <c r="J203" s="121"/>
      <c r="K203" s="121"/>
      <c r="L203" s="121"/>
      <c r="M203" s="121"/>
      <c r="N203" s="121"/>
    </row>
    <row r="204" spans="1:14" ht="15.5">
      <c r="A204" s="247" t="s">
        <v>465</v>
      </c>
      <c r="B204" s="295"/>
      <c r="C204" s="296">
        <f>SUM(C184:C203)</f>
        <v>1317143.4476531295</v>
      </c>
      <c r="D204" s="295" t="s">
        <v>466</v>
      </c>
      <c r="E204" s="295"/>
      <c r="F204" s="296">
        <f>SUM(F185:F203)</f>
        <v>1317143.4476531297</v>
      </c>
      <c r="G204" s="253">
        <f>C204-F204</f>
        <v>0</v>
      </c>
      <c r="H204" s="255"/>
      <c r="I204" s="270"/>
      <c r="J204" s="271"/>
      <c r="K204" s="271"/>
      <c r="L204" s="292" t="s">
        <v>527</v>
      </c>
      <c r="M204" s="271"/>
      <c r="N204" s="272"/>
    </row>
    <row r="205" spans="1:14" ht="15.5">
      <c r="A205" s="20"/>
      <c r="B205" s="253"/>
      <c r="C205" s="188"/>
      <c r="D205" s="100"/>
      <c r="E205" s="151"/>
      <c r="F205" s="245"/>
      <c r="H205" s="256" t="s">
        <v>529</v>
      </c>
      <c r="I205" s="306"/>
      <c r="J205" s="290">
        <f>J182/J207</f>
        <v>2.7604541451437035</v>
      </c>
      <c r="K205" s="121"/>
      <c r="L205" s="121" t="s">
        <v>530</v>
      </c>
      <c r="M205" s="121"/>
      <c r="N205" s="274"/>
    </row>
    <row r="206" spans="1:14" ht="16">
      <c r="A206" s="212" t="str">
        <f>A174</f>
        <v>NILESHWAR</v>
      </c>
      <c r="B206" s="253"/>
      <c r="C206" s="221" t="s">
        <v>481</v>
      </c>
      <c r="D206" s="303" t="str">
        <f>D173</f>
        <v xml:space="preserve">M/S.SHAS DESIGN AND PRINTING </v>
      </c>
      <c r="E206" s="151"/>
      <c r="F206" s="245"/>
      <c r="H206" s="256"/>
      <c r="J206" s="121"/>
      <c r="K206" s="121"/>
      <c r="L206" s="121"/>
      <c r="M206" s="121"/>
      <c r="N206" s="274"/>
    </row>
    <row r="207" spans="1:14" ht="16">
      <c r="A207" s="224">
        <f ca="1">A175</f>
        <v>45896</v>
      </c>
      <c r="B207" s="253"/>
      <c r="C207" s="188"/>
      <c r="D207" s="225"/>
      <c r="E207" s="151"/>
      <c r="F207" s="245"/>
      <c r="G207" s="253"/>
      <c r="H207" s="297" t="s">
        <v>530</v>
      </c>
      <c r="I207" s="280"/>
      <c r="J207" s="130">
        <f>J193-J194</f>
        <v>640024.18948247773</v>
      </c>
      <c r="K207" s="273"/>
      <c r="L207" s="273" t="s">
        <v>531</v>
      </c>
      <c r="M207" s="273"/>
      <c r="N207" s="277"/>
    </row>
    <row r="208" spans="1:14" ht="16">
      <c r="B208" s="253"/>
      <c r="C208" s="188"/>
      <c r="D208" s="225"/>
      <c r="E208" s="151"/>
      <c r="F208" s="245"/>
      <c r="G208" s="253"/>
      <c r="H208" s="214"/>
      <c r="J208" s="121"/>
      <c r="K208" s="121"/>
      <c r="L208" s="121"/>
      <c r="M208" s="121"/>
      <c r="N208" s="121"/>
    </row>
    <row r="209" spans="1:8" ht="16">
      <c r="A209" s="20"/>
      <c r="B209" s="253"/>
      <c r="C209" s="188"/>
      <c r="D209" s="225" t="str">
        <f>D176</f>
        <v>Proprietor</v>
      </c>
      <c r="E209" s="151"/>
      <c r="F209" s="245"/>
      <c r="G209" s="253"/>
      <c r="H209" s="214"/>
    </row>
    <row r="210" spans="1:8" ht="16" hidden="1">
      <c r="A210" s="20"/>
      <c r="B210" s="253"/>
      <c r="C210" s="188"/>
      <c r="D210" s="192"/>
      <c r="E210" s="151"/>
      <c r="F210" s="245"/>
      <c r="G210" s="253"/>
      <c r="H210" s="214"/>
    </row>
    <row r="211" spans="1:8" ht="16">
      <c r="A211" s="20"/>
      <c r="B211" s="253"/>
      <c r="C211" s="188"/>
      <c r="D211" s="192"/>
      <c r="E211" s="151"/>
      <c r="F211" s="245"/>
      <c r="G211" s="253"/>
      <c r="H211" s="214"/>
    </row>
    <row r="212" spans="1:8" ht="16.5">
      <c r="A212" s="20"/>
      <c r="B212" s="299" t="str">
        <f>B179</f>
        <v>Mr.SHAFEEK N N</v>
      </c>
      <c r="C212" s="226" t="str">
        <f>C179</f>
        <v xml:space="preserve">M/S.SHAS DESIGN AND PRINTING </v>
      </c>
      <c r="D212" s="192"/>
      <c r="F212" s="245"/>
      <c r="G212" s="253"/>
      <c r="H212" s="214"/>
    </row>
    <row r="213" spans="1:8" ht="15">
      <c r="A213" s="207"/>
      <c r="B213" s="301" t="str">
        <f>B180</f>
        <v>NEAR POST OFFICE, NILESHWAR</v>
      </c>
      <c r="C213" s="302" t="str">
        <f>C180</f>
        <v>NILESHWAR</v>
      </c>
      <c r="D213" s="230"/>
      <c r="E213" s="210"/>
      <c r="F213" s="210"/>
      <c r="G213" s="206"/>
      <c r="H213" s="214"/>
    </row>
    <row r="214" spans="1:8" ht="15">
      <c r="A214" s="211" t="s">
        <v>539</v>
      </c>
      <c r="B214" s="211"/>
      <c r="C214" s="307"/>
      <c r="D214" s="307"/>
      <c r="E214" s="307"/>
      <c r="F214" s="212"/>
      <c r="G214" s="214"/>
      <c r="H214" s="214"/>
    </row>
    <row r="215" spans="1:8" ht="15">
      <c r="A215" s="212"/>
      <c r="B215" s="212"/>
      <c r="C215" s="212"/>
      <c r="D215" s="212"/>
      <c r="E215" s="212"/>
      <c r="F215" s="212"/>
      <c r="G215" s="214"/>
      <c r="H215" s="214"/>
    </row>
    <row r="216" spans="1:8" ht="15">
      <c r="A216" s="213" t="s">
        <v>540</v>
      </c>
      <c r="B216" s="213"/>
      <c r="C216" s="213" t="s">
        <v>424</v>
      </c>
      <c r="D216" s="213" t="s">
        <v>471</v>
      </c>
      <c r="E216" s="213"/>
      <c r="F216" s="213" t="s">
        <v>424</v>
      </c>
      <c r="G216" s="214"/>
      <c r="H216" s="214"/>
    </row>
    <row r="217" spans="1:8" ht="15">
      <c r="A217" s="212"/>
      <c r="B217" s="212"/>
      <c r="C217" s="214"/>
      <c r="D217" s="214"/>
      <c r="E217" s="214"/>
      <c r="F217" s="214"/>
      <c r="G217" s="214"/>
      <c r="H217" s="214"/>
    </row>
    <row r="218" spans="1:8" ht="15">
      <c r="A218" s="212" t="s">
        <v>425</v>
      </c>
      <c r="B218" s="212"/>
      <c r="C218" s="214">
        <f>F193</f>
        <v>136867.5</v>
      </c>
      <c r="D218" s="214" t="str">
        <f>D149</f>
        <v>By  Sales Revenue ( Less S. Returns)</v>
      </c>
      <c r="E218" s="214"/>
      <c r="F218" s="214">
        <f>'PROJECT REPORT '!H753*100000-'PROJECT REPORT '!H649*100000-G223</f>
        <v>1855452.7966921977</v>
      </c>
      <c r="G218" s="214"/>
      <c r="H218" s="214"/>
    </row>
    <row r="219" spans="1:8" ht="15">
      <c r="A219" s="212" t="str">
        <f>A79</f>
        <v>" Purchases (Including GST)</v>
      </c>
      <c r="B219" s="212"/>
      <c r="C219" s="214">
        <f>'PROJECT REPORT '!H757*100000</f>
        <v>600212.16486000002</v>
      </c>
      <c r="D219" s="214"/>
      <c r="E219" s="214"/>
      <c r="F219" s="214" t="s">
        <v>541</v>
      </c>
      <c r="G219" s="214"/>
      <c r="H219" s="214"/>
    </row>
    <row r="220" spans="1:8" ht="15">
      <c r="A220" s="212"/>
      <c r="B220" s="212"/>
      <c r="C220" s="214"/>
      <c r="D220" s="214"/>
      <c r="E220" s="214"/>
      <c r="F220" s="214"/>
      <c r="G220" s="214" t="s">
        <v>542</v>
      </c>
      <c r="H220" s="214"/>
    </row>
    <row r="221" spans="1:8" ht="15">
      <c r="A221" s="212"/>
      <c r="B221" s="212"/>
      <c r="C221" s="214"/>
      <c r="D221" s="214"/>
      <c r="E221" s="214"/>
      <c r="F221" s="214"/>
      <c r="G221" s="214"/>
      <c r="H221" s="214"/>
    </row>
    <row r="222" spans="1:8" ht="15">
      <c r="A222" s="212" t="s">
        <v>429</v>
      </c>
      <c r="B222" s="212"/>
      <c r="C222" s="214">
        <f>F223-C218-C219</f>
        <v>1262084.0068321978</v>
      </c>
      <c r="D222" s="214" t="s">
        <v>475</v>
      </c>
      <c r="E222" s="214"/>
      <c r="F222" s="214">
        <f>C218*105/100</f>
        <v>143710.875</v>
      </c>
      <c r="G222" s="214"/>
      <c r="H222" s="214"/>
    </row>
    <row r="223" spans="1:8" ht="15">
      <c r="A223" s="211" t="s">
        <v>430</v>
      </c>
      <c r="B223" s="211"/>
      <c r="C223" s="215">
        <f>SUM(C218:C222)</f>
        <v>1999163.6716921977</v>
      </c>
      <c r="D223" s="216" t="s">
        <v>431</v>
      </c>
      <c r="E223" s="216"/>
      <c r="F223" s="215">
        <f>SUM(F217:F222)</f>
        <v>1999163.6716921977</v>
      </c>
      <c r="G223" s="214">
        <f>F222-C218</f>
        <v>6843.375</v>
      </c>
      <c r="H223" s="214"/>
    </row>
    <row r="224" spans="1:8" ht="15">
      <c r="A224" s="212" t="s">
        <v>433</v>
      </c>
      <c r="B224" s="212"/>
      <c r="C224" s="214">
        <f>'PROJECT REPORT '!H763*100000</f>
        <v>422400</v>
      </c>
      <c r="D224" s="212" t="s">
        <v>432</v>
      </c>
      <c r="E224" s="214"/>
      <c r="F224" s="214">
        <f>C222</f>
        <v>1262084.0068321978</v>
      </c>
      <c r="G224" s="214"/>
      <c r="H224" s="214"/>
    </row>
    <row r="225" spans="1:14" ht="15">
      <c r="A225" s="212" t="s">
        <v>434</v>
      </c>
      <c r="B225" s="212"/>
      <c r="C225" s="214">
        <f>'PROJECT REPORT '!H779*100000</f>
        <v>5280</v>
      </c>
      <c r="D225" s="212"/>
      <c r="E225" s="214"/>
      <c r="F225" s="214"/>
      <c r="G225" s="214"/>
      <c r="H225" s="214"/>
    </row>
    <row r="226" spans="1:14" ht="15">
      <c r="A226" s="212" t="s">
        <v>435</v>
      </c>
      <c r="B226" s="212"/>
      <c r="C226" s="214">
        <f>'PROJECT REPORT '!H761*100000</f>
        <v>6600</v>
      </c>
      <c r="D226" s="212"/>
      <c r="E226" s="214"/>
      <c r="F226" s="214"/>
      <c r="G226" s="214"/>
      <c r="H226" s="214"/>
    </row>
    <row r="227" spans="1:14" ht="15">
      <c r="A227" s="212" t="s">
        <v>436</v>
      </c>
      <c r="B227" s="212"/>
      <c r="C227" s="214">
        <f>'PROJECT REPORT '!H786*100000</f>
        <v>11879.999999999998</v>
      </c>
      <c r="D227" s="212"/>
      <c r="E227" s="214"/>
      <c r="F227" s="214"/>
      <c r="G227" s="214"/>
      <c r="H227" s="214"/>
    </row>
    <row r="228" spans="1:14" ht="15">
      <c r="A228" s="212" t="s">
        <v>437</v>
      </c>
      <c r="B228" s="212"/>
      <c r="C228" s="214">
        <f>'PROJECT REPORT '!H769*100000</f>
        <v>1320</v>
      </c>
      <c r="D228" s="212"/>
      <c r="E228" s="214"/>
      <c r="F228" s="214"/>
      <c r="G228" s="214"/>
      <c r="H228" s="214"/>
    </row>
    <row r="229" spans="1:14" ht="15">
      <c r="A229" s="212" t="s">
        <v>476</v>
      </c>
      <c r="B229" s="212"/>
      <c r="C229" s="214">
        <f>'PROJECT REPORT '!H765*100000</f>
        <v>7919.9999999999991</v>
      </c>
      <c r="D229" s="212"/>
      <c r="E229" s="214"/>
      <c r="F229" s="214"/>
      <c r="G229" s="214"/>
      <c r="H229" s="214"/>
    </row>
    <row r="230" spans="1:14" ht="15">
      <c r="A230" s="212" t="s">
        <v>440</v>
      </c>
      <c r="B230" s="212"/>
      <c r="C230" s="214">
        <f>'PROJECT REPORT '!H767*100000</f>
        <v>1320</v>
      </c>
      <c r="D230" s="212"/>
      <c r="E230" s="214"/>
      <c r="F230" s="214"/>
      <c r="G230" s="214"/>
      <c r="H230" s="214"/>
    </row>
    <row r="231" spans="1:14" ht="15">
      <c r="A231" s="212" t="s">
        <v>477</v>
      </c>
      <c r="B231" s="212"/>
      <c r="C231" s="214">
        <f>'PROJECT REPORT '!H626*100000</f>
        <v>31901.625000000007</v>
      </c>
      <c r="D231" s="212"/>
      <c r="E231" s="214"/>
      <c r="F231" s="214"/>
      <c r="G231" s="214"/>
      <c r="H231" s="214"/>
    </row>
    <row r="232" spans="1:14" ht="15">
      <c r="A232" s="212" t="s">
        <v>441</v>
      </c>
      <c r="B232" s="212"/>
      <c r="C232" s="214">
        <f>'PROJECT REPORT '!H771*100000</f>
        <v>13200</v>
      </c>
      <c r="D232" s="212"/>
      <c r="E232" s="214"/>
      <c r="F232" s="214"/>
      <c r="G232" s="214" t="s">
        <v>438</v>
      </c>
      <c r="H232" s="214"/>
    </row>
    <row r="233" spans="1:14" ht="15">
      <c r="A233" s="212" t="s">
        <v>442</v>
      </c>
      <c r="B233" s="212"/>
      <c r="C233" s="214">
        <f>G258</f>
        <v>65604</v>
      </c>
      <c r="D233" s="212"/>
      <c r="E233" s="214"/>
      <c r="F233" s="214"/>
      <c r="G233" s="214">
        <f>'PROJECT REPORT '!H796*100000</f>
        <v>406219.90183219785</v>
      </c>
      <c r="H233" s="214"/>
    </row>
    <row r="234" spans="1:14" ht="15">
      <c r="A234" s="212" t="s">
        <v>443</v>
      </c>
      <c r="B234" s="212"/>
      <c r="C234" s="214">
        <f>'PROJECT REPORT '!H759*100000</f>
        <v>66000</v>
      </c>
      <c r="D234" s="212"/>
      <c r="E234" s="214"/>
      <c r="F234" s="214"/>
      <c r="G234" s="214"/>
      <c r="H234" s="214"/>
    </row>
    <row r="235" spans="1:14" ht="15">
      <c r="A235" s="212" t="s">
        <v>478</v>
      </c>
      <c r="B235" s="212"/>
      <c r="C235" s="214">
        <f>'PROJECT REPORT '!H773*100000</f>
        <v>213048.00000000003</v>
      </c>
      <c r="D235" s="212"/>
      <c r="E235" s="214"/>
      <c r="F235" s="214"/>
      <c r="G235" s="214"/>
      <c r="H235" s="214"/>
    </row>
    <row r="236" spans="1:14" ht="15">
      <c r="A236" s="212" t="s">
        <v>479</v>
      </c>
      <c r="B236" s="212"/>
      <c r="C236" s="214">
        <f>'PROJECT REPORT '!H775*100000</f>
        <v>2130.48</v>
      </c>
      <c r="D236" s="212"/>
      <c r="E236" s="214"/>
      <c r="F236" s="214"/>
      <c r="G236" s="214">
        <f>G233-C238</f>
        <v>0</v>
      </c>
      <c r="H236" s="214"/>
    </row>
    <row r="237" spans="1:14" ht="15">
      <c r="A237" s="212" t="s">
        <v>480</v>
      </c>
      <c r="B237" s="212"/>
      <c r="C237" s="214">
        <f>'PROJECT REPORT '!H777*100000</f>
        <v>7260</v>
      </c>
      <c r="D237" s="212"/>
      <c r="E237" s="214"/>
      <c r="F237" s="214"/>
      <c r="G237" s="214"/>
      <c r="H237" s="238"/>
      <c r="J237" s="121"/>
      <c r="K237" s="121"/>
      <c r="L237" s="121"/>
      <c r="M237" s="121"/>
      <c r="N237" s="121"/>
    </row>
    <row r="238" spans="1:14" ht="15">
      <c r="A238" s="212" t="s">
        <v>444</v>
      </c>
      <c r="B238" s="212"/>
      <c r="C238" s="214">
        <f>F240-C224-C225-C226-C227-C228-C229-C230-C231-C232-C233-C234-C235-C236-C237</f>
        <v>406219.90183219779</v>
      </c>
      <c r="D238" s="212"/>
      <c r="E238" s="214"/>
      <c r="F238" s="214"/>
      <c r="G238" s="214"/>
      <c r="H238" s="234"/>
      <c r="J238" s="121"/>
      <c r="K238" s="121"/>
      <c r="L238" s="121"/>
      <c r="M238" s="121"/>
      <c r="N238" s="121"/>
    </row>
    <row r="239" spans="1:14" ht="15" hidden="1">
      <c r="A239" s="212"/>
      <c r="B239" s="212"/>
      <c r="C239" s="217"/>
      <c r="D239" s="214"/>
      <c r="E239" s="214"/>
      <c r="F239" s="214"/>
      <c r="G239" s="214"/>
      <c r="H239" s="242"/>
      <c r="J239" s="121"/>
      <c r="K239" s="121"/>
      <c r="L239" s="121"/>
      <c r="M239" s="121"/>
      <c r="N239" s="121"/>
    </row>
    <row r="240" spans="1:14" ht="16">
      <c r="A240" s="211" t="s">
        <v>445</v>
      </c>
      <c r="B240" s="211"/>
      <c r="C240" s="218">
        <f>SUM(C224:C239)</f>
        <v>1262084.0068321978</v>
      </c>
      <c r="D240" s="216" t="s">
        <v>446</v>
      </c>
      <c r="E240" s="216"/>
      <c r="F240" s="218">
        <f>SUM(F224:F239)</f>
        <v>1262084.0068321978</v>
      </c>
      <c r="G240" s="214"/>
      <c r="H240" s="245"/>
      <c r="J240" s="121"/>
      <c r="K240" s="121"/>
      <c r="L240" s="121"/>
      <c r="M240" s="121"/>
      <c r="N240" s="121"/>
    </row>
    <row r="241" spans="1:15" ht="16">
      <c r="A241" s="219"/>
      <c r="B241" s="219"/>
      <c r="C241" s="220"/>
      <c r="D241" s="220"/>
      <c r="E241" s="220"/>
      <c r="F241" s="220"/>
      <c r="G241" s="214"/>
      <c r="H241" s="245"/>
      <c r="K241" s="19"/>
      <c r="L241" s="201"/>
      <c r="M241" s="201"/>
      <c r="N241" s="201"/>
      <c r="O241" s="201"/>
    </row>
    <row r="242" spans="1:15" ht="16">
      <c r="A242" s="212"/>
      <c r="B242" s="212"/>
      <c r="C242" s="221" t="s">
        <v>481</v>
      </c>
      <c r="D242" s="303" t="str">
        <f>D206</f>
        <v xml:space="preserve">M/S.SHAS DESIGN AND PRINTING </v>
      </c>
      <c r="E242" s="214"/>
      <c r="F242" s="214"/>
      <c r="H242" s="245"/>
      <c r="K242" s="19"/>
      <c r="L242" s="201"/>
      <c r="M242" s="201"/>
      <c r="N242" s="201"/>
      <c r="O242" s="201"/>
    </row>
    <row r="243" spans="1:15" ht="16">
      <c r="A243" s="212" t="str">
        <f>A206</f>
        <v>NILESHWAR</v>
      </c>
      <c r="B243" s="212"/>
      <c r="C243" s="214"/>
      <c r="D243" s="223"/>
      <c r="F243" s="214"/>
      <c r="G243" s="214"/>
      <c r="H243" s="245"/>
      <c r="I243" s="141"/>
      <c r="K243" s="19"/>
      <c r="L243" s="201"/>
      <c r="M243" s="201"/>
      <c r="N243" s="201"/>
      <c r="O243" s="201"/>
    </row>
    <row r="244" spans="1:15" ht="16">
      <c r="A244" s="224">
        <f ca="1">A207</f>
        <v>45896</v>
      </c>
      <c r="B244" s="212"/>
      <c r="C244" s="214"/>
      <c r="D244" s="303"/>
      <c r="E244" s="214"/>
      <c r="F244" s="214"/>
      <c r="G244" s="214"/>
      <c r="H244" s="100"/>
      <c r="I244" s="141"/>
      <c r="K244" s="19"/>
      <c r="L244" s="201"/>
      <c r="M244" s="201"/>
      <c r="N244" s="201"/>
      <c r="O244" s="201"/>
    </row>
    <row r="245" spans="1:15" ht="16">
      <c r="A245" s="212"/>
      <c r="B245" s="212"/>
      <c r="C245" s="214"/>
      <c r="D245" s="221" t="str">
        <f>D209</f>
        <v>Proprietor</v>
      </c>
      <c r="E245" s="214"/>
      <c r="F245" s="214"/>
      <c r="G245" s="214"/>
      <c r="I245" s="141"/>
      <c r="K245" s="19"/>
      <c r="L245" s="201"/>
      <c r="M245" s="201"/>
      <c r="N245" s="201"/>
      <c r="O245" s="201"/>
    </row>
    <row r="246" spans="1:15" ht="16" hidden="1">
      <c r="A246" s="212"/>
      <c r="B246" s="212"/>
      <c r="C246" s="214"/>
      <c r="D246" s="308"/>
      <c r="E246" s="214"/>
      <c r="F246" s="214"/>
      <c r="G246" s="214"/>
      <c r="I246" s="141"/>
      <c r="K246" s="19"/>
      <c r="L246" s="201"/>
      <c r="M246" s="201"/>
      <c r="N246" s="201"/>
      <c r="O246" s="201"/>
    </row>
    <row r="247" spans="1:15" ht="16">
      <c r="A247" s="212"/>
      <c r="B247" s="212"/>
      <c r="C247" s="214"/>
      <c r="D247" s="308"/>
      <c r="E247" s="214"/>
      <c r="F247" s="214"/>
      <c r="G247" s="214"/>
      <c r="I247" s="141"/>
      <c r="K247" s="19"/>
      <c r="L247" s="201"/>
      <c r="M247" s="201"/>
      <c r="N247" s="201"/>
      <c r="O247" s="201"/>
    </row>
    <row r="248" spans="1:15" ht="17">
      <c r="A248" s="212"/>
      <c r="B248" s="309" t="str">
        <f>'PROJECT REPORT '!H17</f>
        <v>Mr.SHAFEEK N N</v>
      </c>
      <c r="C248" s="310" t="str">
        <f>C212</f>
        <v xml:space="preserve">M/S.SHAS DESIGN AND PRINTING </v>
      </c>
      <c r="D248" s="214"/>
      <c r="E248" s="214"/>
      <c r="F248" s="214"/>
      <c r="G248" s="214"/>
      <c r="H248" s="245"/>
      <c r="I248" s="141"/>
      <c r="K248" s="19"/>
      <c r="L248" s="201"/>
      <c r="M248" s="201"/>
      <c r="N248" s="201"/>
      <c r="O248" s="201"/>
    </row>
    <row r="249" spans="1:15" ht="16">
      <c r="A249" s="207"/>
      <c r="B249" s="301" t="str">
        <f>B213</f>
        <v>NEAR POST OFFICE, NILESHWAR</v>
      </c>
      <c r="C249" s="230" t="str">
        <f>C213</f>
        <v>NILESHWAR</v>
      </c>
      <c r="D249" s="230"/>
      <c r="E249" s="230"/>
      <c r="F249" s="230"/>
      <c r="G249" s="214"/>
      <c r="H249" s="245"/>
      <c r="I249" s="141"/>
      <c r="K249" s="19"/>
      <c r="L249" s="201"/>
      <c r="M249" s="201"/>
      <c r="N249" s="201"/>
      <c r="O249" s="201"/>
    </row>
    <row r="250" spans="1:15" ht="16">
      <c r="A250" s="232" t="s">
        <v>543</v>
      </c>
      <c r="B250" s="232"/>
      <c r="C250" s="233"/>
      <c r="D250" s="233"/>
      <c r="E250" s="233"/>
      <c r="F250" s="234"/>
      <c r="G250" s="214"/>
      <c r="H250" s="245"/>
      <c r="I250" s="141"/>
    </row>
    <row r="251" spans="1:15" ht="16">
      <c r="A251" s="236" t="s">
        <v>449</v>
      </c>
      <c r="B251" s="236" t="s">
        <v>73</v>
      </c>
      <c r="C251" s="237" t="s">
        <v>73</v>
      </c>
      <c r="D251" s="237" t="s">
        <v>450</v>
      </c>
      <c r="E251" s="237" t="s">
        <v>73</v>
      </c>
      <c r="F251" s="237" t="s">
        <v>73</v>
      </c>
      <c r="G251" s="214"/>
      <c r="H251" s="253"/>
    </row>
    <row r="252" spans="1:15" ht="19">
      <c r="A252" s="311" t="str">
        <f>A183</f>
        <v>NON CURRENT LIABILITIES</v>
      </c>
      <c r="B252" s="241"/>
      <c r="C252" s="242"/>
      <c r="D252" s="243" t="s">
        <v>451</v>
      </c>
      <c r="E252" s="244"/>
      <c r="F252" s="245"/>
      <c r="G252" s="214"/>
      <c r="H252" s="231" t="s">
        <v>482</v>
      </c>
      <c r="I252" s="270"/>
      <c r="J252" s="271">
        <f>F218</f>
        <v>1855452.7966921977</v>
      </c>
      <c r="K252" s="271"/>
      <c r="L252" s="272"/>
      <c r="M252" s="121"/>
      <c r="N252" s="121"/>
    </row>
    <row r="253" spans="1:15" ht="19">
      <c r="A253" s="247" t="s">
        <v>452</v>
      </c>
      <c r="B253" s="214">
        <f>C188</f>
        <v>865326.68948247796</v>
      </c>
      <c r="C253" s="214"/>
      <c r="D253" s="243" t="str">
        <f>D184</f>
        <v>Tangible Asset  (Machinary &amp; Tools )</v>
      </c>
      <c r="E253" s="244"/>
      <c r="F253" s="245"/>
      <c r="G253" s="238"/>
      <c r="H253" s="235" t="s">
        <v>484</v>
      </c>
      <c r="J253" s="121">
        <f>C238</f>
        <v>406219.90183219779</v>
      </c>
      <c r="K253" s="273" t="s">
        <v>484</v>
      </c>
      <c r="L253" s="274" t="s">
        <v>485</v>
      </c>
      <c r="M253" s="121"/>
      <c r="N253" s="121"/>
    </row>
    <row r="254" spans="1:15" ht="16">
      <c r="A254" s="116" t="s">
        <v>453</v>
      </c>
      <c r="B254" s="250">
        <f>C238</f>
        <v>406219.90183219779</v>
      </c>
      <c r="C254" s="214"/>
      <c r="D254" s="19" t="str">
        <f>D185</f>
        <v>MACHINERY &amp; FITTINGS</v>
      </c>
      <c r="E254" s="201">
        <f>F186</f>
        <v>656040</v>
      </c>
      <c r="F254" s="245"/>
      <c r="G254" s="238"/>
      <c r="H254" s="239" t="s">
        <v>486</v>
      </c>
      <c r="I254" s="275"/>
      <c r="J254" s="276">
        <f>J253/J252*100</f>
        <v>21.893302947743269</v>
      </c>
      <c r="K254" s="273" t="s">
        <v>487</v>
      </c>
      <c r="L254" s="277"/>
      <c r="M254" s="121"/>
      <c r="N254" s="121"/>
    </row>
    <row r="255" spans="1:15" ht="19">
      <c r="A255" s="116"/>
      <c r="B255" s="214">
        <f>SUM(B253:B254)</f>
        <v>1271546.5913146758</v>
      </c>
      <c r="C255" s="214"/>
      <c r="D255" s="100" t="s">
        <v>454</v>
      </c>
      <c r="E255" s="244">
        <f>E254*10/100</f>
        <v>65604</v>
      </c>
      <c r="F255" s="245">
        <f>E254-E255</f>
        <v>590436</v>
      </c>
      <c r="G255" s="245"/>
      <c r="H255" s="234"/>
      <c r="I255" s="278"/>
      <c r="N255" s="121"/>
    </row>
    <row r="256" spans="1:15" ht="19">
      <c r="A256" s="116" t="s">
        <v>455</v>
      </c>
      <c r="B256" s="254">
        <f>'PROJECT REPORT '!H662*100000</f>
        <v>66000</v>
      </c>
      <c r="D256" s="123"/>
      <c r="E256" s="244"/>
      <c r="F256" s="245"/>
      <c r="G256" s="100">
        <f>C607</f>
        <v>0</v>
      </c>
      <c r="H256" s="249"/>
      <c r="I256" s="270"/>
      <c r="J256" s="279"/>
      <c r="K256" s="60" t="s">
        <v>482</v>
      </c>
      <c r="L256" s="60"/>
      <c r="M256" s="279"/>
      <c r="N256" s="271"/>
      <c r="O256" s="85"/>
    </row>
    <row r="257" spans="1:15" ht="19">
      <c r="A257" s="116"/>
      <c r="B257" s="214"/>
      <c r="C257" s="216">
        <f>B255-B256</f>
        <v>1205546.5913146758</v>
      </c>
      <c r="D257" s="100"/>
      <c r="E257" s="244"/>
      <c r="F257" s="245"/>
      <c r="G257" s="100" t="s">
        <v>456</v>
      </c>
      <c r="H257" s="251" t="s">
        <v>491</v>
      </c>
      <c r="I257" s="280"/>
      <c r="J257" s="276">
        <f>J252/(F204+F275)/2</f>
        <v>0.32585120979993887</v>
      </c>
      <c r="K257" s="281" t="s">
        <v>492</v>
      </c>
      <c r="L257" s="281"/>
      <c r="M257" s="281"/>
      <c r="N257" s="273"/>
      <c r="O257" s="282"/>
    </row>
    <row r="258" spans="1:15" ht="20.5">
      <c r="A258" s="257" t="str">
        <f>A189</f>
        <v>LONG TERM CURRENT LIABILITIES</v>
      </c>
      <c r="B258" s="214"/>
      <c r="C258" s="216"/>
      <c r="D258" s="258"/>
      <c r="E258" s="244"/>
      <c r="F258" s="245"/>
      <c r="G258" s="100">
        <f>E255</f>
        <v>65604</v>
      </c>
      <c r="H258" s="245"/>
      <c r="N258" s="121"/>
    </row>
    <row r="259" spans="1:15" ht="19">
      <c r="A259" s="247" t="s">
        <v>501</v>
      </c>
      <c r="B259" s="214"/>
      <c r="C259" s="214"/>
      <c r="D259" s="100"/>
      <c r="E259" s="244"/>
      <c r="F259" s="245"/>
      <c r="G259" s="245" t="s">
        <v>457</v>
      </c>
      <c r="H259" s="255" t="s">
        <v>495</v>
      </c>
      <c r="I259" s="270"/>
      <c r="J259" s="271">
        <f>(C218+C219)-F222</f>
        <v>593368.78986000002</v>
      </c>
      <c r="K259" s="60" t="s">
        <v>496</v>
      </c>
      <c r="L259" s="60"/>
      <c r="M259" s="279"/>
      <c r="N259" s="272"/>
    </row>
    <row r="260" spans="1:15" ht="16">
      <c r="A260" s="261" t="str">
        <f>A191</f>
        <v>TERM LOAN</v>
      </c>
      <c r="B260" s="214"/>
      <c r="C260" s="214"/>
      <c r="D260" s="129" t="str">
        <f>D191</f>
        <v>CURRENT ASSETS , LOANS AND ADVANCES</v>
      </c>
      <c r="E260" s="312"/>
      <c r="F260" s="245"/>
      <c r="G260" s="245"/>
      <c r="H260" s="256" t="s">
        <v>544</v>
      </c>
      <c r="J260" s="290">
        <f>J259/J261</f>
        <v>2.8428537704918035</v>
      </c>
      <c r="K260" t="s">
        <v>498</v>
      </c>
      <c r="N260" s="274"/>
    </row>
    <row r="261" spans="1:15" ht="19">
      <c r="A261" s="116" t="str">
        <f>A192</f>
        <v>FEDERAL BANK</v>
      </c>
      <c r="B261" s="214">
        <f>'PROJECT REPORT '!J818*100000</f>
        <v>253825.00000000006</v>
      </c>
      <c r="C261" s="214"/>
      <c r="D261" s="245" t="s">
        <v>461</v>
      </c>
      <c r="E261" s="244"/>
      <c r="F261" s="214">
        <f>C275-F255-F262-F263-F264-F257-F259-F265</f>
        <v>515113.13371983182</v>
      </c>
      <c r="G261" s="245" t="s">
        <v>458</v>
      </c>
      <c r="H261" s="259" t="s">
        <v>500</v>
      </c>
      <c r="I261" s="280"/>
      <c r="J261" s="283">
        <f>C218+F222/2</f>
        <v>208722.9375</v>
      </c>
      <c r="K261" s="281"/>
      <c r="L261" s="281"/>
      <c r="M261" s="281"/>
      <c r="N261" s="277"/>
    </row>
    <row r="262" spans="1:15" ht="16">
      <c r="A262" s="261" t="str">
        <f>A193</f>
        <v>CASH CREDIT</v>
      </c>
      <c r="B262" s="214"/>
      <c r="C262" s="214"/>
      <c r="D262" s="100" t="s">
        <v>460</v>
      </c>
      <c r="E262" s="100"/>
      <c r="F262" s="214">
        <f>F222</f>
        <v>143710.875</v>
      </c>
      <c r="G262" s="245">
        <f>E254</f>
        <v>656040</v>
      </c>
      <c r="H262" s="260" t="s">
        <v>502</v>
      </c>
      <c r="I262" s="284"/>
      <c r="J262" s="285">
        <f>J263/J264</f>
        <v>45.671623087392966</v>
      </c>
      <c r="K262" s="279"/>
      <c r="L262" s="279"/>
      <c r="M262" s="279"/>
      <c r="N262" s="272"/>
    </row>
    <row r="263" spans="1:15" ht="16">
      <c r="A263" s="116" t="str">
        <f>A194</f>
        <v>FEDERAL BANK</v>
      </c>
      <c r="B263" s="130">
        <f>'PROJECT REPORT '!J814*100000</f>
        <v>50000</v>
      </c>
      <c r="D263" s="214" t="s">
        <v>464</v>
      </c>
      <c r="E263" s="245"/>
      <c r="F263" s="245">
        <f>'PROJECT REPORT '!H666*100000</f>
        <v>238443.14483219781</v>
      </c>
      <c r="H263" s="262" t="s">
        <v>504</v>
      </c>
      <c r="J263" s="286">
        <f>F261+F262+F263+F264+F265</f>
        <v>939506.4935520296</v>
      </c>
      <c r="L263" s="273" t="str">
        <f>H263</f>
        <v>Current asset total</v>
      </c>
      <c r="N263" s="274"/>
    </row>
    <row r="264" spans="1:15" ht="18.5">
      <c r="B264" s="141">
        <f>C264</f>
        <v>303825.00000000006</v>
      </c>
      <c r="C264" s="123">
        <f>B261+B263</f>
        <v>303825.00000000006</v>
      </c>
      <c r="D264" s="100" t="s">
        <v>518</v>
      </c>
      <c r="E264" s="244"/>
      <c r="F264" s="245">
        <f>F196*165/100</f>
        <v>42239.34</v>
      </c>
      <c r="H264" s="263" t="s">
        <v>506</v>
      </c>
      <c r="I264" s="280"/>
      <c r="J264" s="287">
        <f>C267+C270+C271+C272+C273</f>
        <v>20570.902237353759</v>
      </c>
      <c r="K264" s="281"/>
      <c r="L264" s="283" t="str">
        <f>H264</f>
        <v>Current liabilty  total</v>
      </c>
      <c r="M264" s="281"/>
      <c r="N264" s="277"/>
    </row>
    <row r="265" spans="1:15" ht="18.5">
      <c r="A265" s="240" t="str">
        <f>A196</f>
        <v>DEFERRED TAX LIABILITIES</v>
      </c>
      <c r="B265" s="141"/>
      <c r="C265" s="123"/>
      <c r="D265" s="100"/>
      <c r="E265" s="244"/>
      <c r="F265" s="298"/>
      <c r="H265" s="265" t="s">
        <v>508</v>
      </c>
      <c r="I265" s="270"/>
      <c r="J265" s="285">
        <f>J266/J264</f>
        <v>45.671623087392966</v>
      </c>
      <c r="K265" s="271"/>
      <c r="L265" s="60" t="s">
        <v>509</v>
      </c>
      <c r="M265" s="60"/>
      <c r="N265" s="288">
        <f>J266</f>
        <v>939506.4935520296</v>
      </c>
    </row>
    <row r="266" spans="1:15" ht="15.5">
      <c r="A266" s="240" t="str">
        <f>A197</f>
        <v>OTHER  CURRENT LIABILITIES</v>
      </c>
      <c r="B266" s="141"/>
      <c r="C266" s="123"/>
      <c r="H266" s="266" t="s">
        <v>510</v>
      </c>
      <c r="I266" s="280"/>
      <c r="J266" s="130">
        <f>F262+F263+F261++++F264</f>
        <v>939506.4935520296</v>
      </c>
      <c r="K266" s="273"/>
      <c r="L266" s="283" t="s">
        <v>511</v>
      </c>
      <c r="M266" s="281"/>
      <c r="N266" s="277">
        <f>J264</f>
        <v>20570.902237353759</v>
      </c>
    </row>
    <row r="267" spans="1:15" ht="15.5">
      <c r="A267" s="19" t="s">
        <v>536</v>
      </c>
      <c r="B267" s="133"/>
      <c r="C267" s="100">
        <f>F218*0.08/100</f>
        <v>1484.3622373537582</v>
      </c>
      <c r="H267" s="255"/>
      <c r="I267" s="270"/>
      <c r="J267" s="289"/>
      <c r="K267" s="271"/>
      <c r="L267" s="279"/>
      <c r="M267" s="279"/>
      <c r="N267" s="272"/>
    </row>
    <row r="268" spans="1:15" ht="15.5">
      <c r="A268" s="19"/>
      <c r="B268" s="133"/>
      <c r="C268" s="100"/>
      <c r="H268" s="256" t="s">
        <v>545</v>
      </c>
      <c r="I268" s="137"/>
      <c r="J268" s="290">
        <f>N268/N269</f>
        <v>1.3445539504948846E-2</v>
      </c>
      <c r="L268" s="281" t="s">
        <v>516</v>
      </c>
      <c r="M268" s="281"/>
      <c r="N268" s="277">
        <f>C267+C270+C271+C272+C273</f>
        <v>20570.902237353759</v>
      </c>
    </row>
    <row r="269" spans="1:15" ht="15.5">
      <c r="A269" s="240" t="str">
        <f>A199</f>
        <v>SHORT TERM PROVISIONS</v>
      </c>
      <c r="B269" s="133"/>
      <c r="C269" s="100"/>
      <c r="G269" s="245"/>
      <c r="H269" s="259"/>
      <c r="I269" s="280"/>
      <c r="J269" s="130"/>
      <c r="K269" s="273"/>
      <c r="L269" s="273" t="s">
        <v>458</v>
      </c>
      <c r="M269" s="273"/>
      <c r="N269" s="277">
        <f>F275</f>
        <v>1529942.4935520296</v>
      </c>
    </row>
    <row r="270" spans="1:15" ht="15.5">
      <c r="A270" s="19" t="s">
        <v>524</v>
      </c>
      <c r="B270" s="133"/>
      <c r="C270" s="100">
        <f>'PROJECT REPORT '!H779*100000/12</f>
        <v>440</v>
      </c>
      <c r="G270" s="245"/>
      <c r="H270" s="260" t="s">
        <v>520</v>
      </c>
      <c r="I270" s="291"/>
      <c r="J270" s="285">
        <f>J271/J272</f>
        <v>0.76437553680297377</v>
      </c>
      <c r="K270" s="271"/>
      <c r="L270" s="292" t="s">
        <v>521</v>
      </c>
      <c r="M270" s="288"/>
      <c r="N270" s="121"/>
    </row>
    <row r="271" spans="1:15" ht="15.5">
      <c r="A271" s="19" t="s">
        <v>525</v>
      </c>
      <c r="B271" s="133"/>
      <c r="C271" s="100">
        <f>'PROJECT REPORT '!H769*100000/12</f>
        <v>110</v>
      </c>
      <c r="G271" s="245"/>
      <c r="H271" s="293" t="s">
        <v>521</v>
      </c>
      <c r="J271" s="121">
        <f>C264+C267+C270+C271+C272+C273</f>
        <v>324395.90223735379</v>
      </c>
      <c r="K271" s="121"/>
      <c r="L271" s="121" t="s">
        <v>523</v>
      </c>
      <c r="M271" s="274"/>
      <c r="N271" s="121"/>
    </row>
    <row r="272" spans="1:15" ht="15.5">
      <c r="A272" s="116" t="s">
        <v>538</v>
      </c>
      <c r="C272" s="100">
        <f>('PROJECT REPORT '!H773+'PROJECT REPORT '!H775)*(100000/12)</f>
        <v>17931.54</v>
      </c>
      <c r="G272" s="245" t="s">
        <v>462</v>
      </c>
      <c r="H272" s="294" t="s">
        <v>523</v>
      </c>
      <c r="I272" s="280"/>
      <c r="J272" s="273">
        <f>F262+F263+F264</f>
        <v>424393.35983219778</v>
      </c>
      <c r="K272" s="273"/>
      <c r="L272" s="273"/>
      <c r="M272" s="277"/>
      <c r="N272" s="121"/>
    </row>
    <row r="273" spans="1:14" ht="15.5">
      <c r="A273" s="19" t="s">
        <v>528</v>
      </c>
      <c r="B273" s="133"/>
      <c r="C273" s="100">
        <f>'PROJECT REPORT '!H777*100000/12</f>
        <v>605</v>
      </c>
      <c r="G273" s="253">
        <f>C275-F275</f>
        <v>0</v>
      </c>
      <c r="H273" s="245"/>
      <c r="J273" s="121"/>
      <c r="K273" s="121"/>
      <c r="L273" s="121"/>
      <c r="M273" s="121"/>
      <c r="N273" s="121"/>
    </row>
    <row r="274" spans="1:14" ht="15.5" hidden="1">
      <c r="A274" s="116"/>
      <c r="B274" s="100"/>
      <c r="C274" s="100"/>
      <c r="G274" s="245"/>
      <c r="H274" s="255"/>
      <c r="I274" s="270"/>
      <c r="J274" s="271"/>
      <c r="K274" s="271"/>
      <c r="L274" s="292" t="s">
        <v>527</v>
      </c>
      <c r="M274" s="271"/>
      <c r="N274" s="272"/>
    </row>
    <row r="275" spans="1:14" ht="15.5">
      <c r="A275" s="247" t="s">
        <v>465</v>
      </c>
      <c r="B275" s="295"/>
      <c r="C275" s="296">
        <f>SUM(C253:C274)</f>
        <v>1529942.4935520296</v>
      </c>
      <c r="D275" s="295" t="s">
        <v>466</v>
      </c>
      <c r="E275" s="295"/>
      <c r="F275" s="296">
        <f>SUM(F254:F273)</f>
        <v>1529942.4935520296</v>
      </c>
      <c r="G275" s="245"/>
      <c r="H275" s="256" t="s">
        <v>529</v>
      </c>
      <c r="I275" s="306"/>
      <c r="J275" s="290">
        <f>J252/J277</f>
        <v>2.0191325858188742</v>
      </c>
      <c r="K275" s="121"/>
      <c r="L275" s="121" t="s">
        <v>530</v>
      </c>
      <c r="M275" s="121"/>
      <c r="N275" s="274"/>
    </row>
    <row r="276" spans="1:14" ht="16">
      <c r="A276" s="20"/>
      <c r="B276" s="253"/>
      <c r="C276" s="221" t="s">
        <v>481</v>
      </c>
      <c r="D276" s="222" t="str">
        <f>D242</f>
        <v xml:space="preserve">M/S.SHAS DESIGN AND PRINTING </v>
      </c>
      <c r="E276" s="253"/>
      <c r="F276" s="253"/>
      <c r="H276" s="256"/>
      <c r="J276" s="121"/>
      <c r="K276" s="121"/>
      <c r="L276" s="121"/>
      <c r="M276" s="121"/>
      <c r="N276" s="274"/>
    </row>
    <row r="277" spans="1:14" ht="16">
      <c r="A277" s="212" t="str">
        <f>A243</f>
        <v>NILESHWAR</v>
      </c>
      <c r="B277" s="253"/>
      <c r="C277" s="253"/>
      <c r="D277" s="223"/>
      <c r="E277" s="253"/>
      <c r="F277" s="253"/>
      <c r="H277" s="297" t="s">
        <v>530</v>
      </c>
      <c r="I277" s="280"/>
      <c r="J277" s="130">
        <f>J263-J264</f>
        <v>918935.59131467587</v>
      </c>
      <c r="K277" s="273"/>
      <c r="L277" s="273" t="s">
        <v>531</v>
      </c>
      <c r="M277" s="273"/>
      <c r="N277" s="277"/>
    </row>
    <row r="278" spans="1:14" ht="16">
      <c r="A278" s="224">
        <f ca="1">A244</f>
        <v>45896</v>
      </c>
      <c r="B278" s="253"/>
      <c r="C278" s="253"/>
      <c r="D278" s="222"/>
      <c r="E278" s="253"/>
      <c r="F278" s="253"/>
      <c r="G278" s="212"/>
      <c r="H278" s="214"/>
      <c r="J278" s="121"/>
      <c r="K278" s="121"/>
      <c r="L278" s="121"/>
      <c r="M278" s="121"/>
      <c r="N278" s="121"/>
    </row>
    <row r="279" spans="1:14" ht="16">
      <c r="A279" s="20"/>
      <c r="B279" s="253"/>
      <c r="C279" s="253"/>
      <c r="D279" s="225" t="str">
        <f>D245</f>
        <v>Proprietor</v>
      </c>
      <c r="E279" s="253"/>
      <c r="F279" s="253"/>
      <c r="G279" s="212"/>
      <c r="H279" s="214"/>
    </row>
    <row r="280" spans="1:14" ht="16" hidden="1">
      <c r="A280" s="20"/>
      <c r="B280" s="253"/>
      <c r="C280" s="253"/>
      <c r="D280" s="298"/>
      <c r="E280" s="253"/>
      <c r="F280" s="253"/>
      <c r="G280" s="212"/>
      <c r="H280" s="214"/>
    </row>
    <row r="281" spans="1:14" ht="16">
      <c r="A281" s="20"/>
      <c r="B281" s="253"/>
      <c r="C281" s="253"/>
      <c r="D281" s="298"/>
      <c r="E281" s="253"/>
      <c r="F281" s="253"/>
      <c r="G281" s="212"/>
      <c r="H281" s="214"/>
    </row>
    <row r="282" spans="1:14" ht="16.5">
      <c r="A282" s="20"/>
      <c r="B282" s="299" t="str">
        <f>B248</f>
        <v>Mr.SHAFEEK N N</v>
      </c>
      <c r="C282" s="300" t="str">
        <f>C248</f>
        <v xml:space="preserve">M/S.SHAS DESIGN AND PRINTING </v>
      </c>
      <c r="D282" s="253"/>
      <c r="E282" s="253"/>
      <c r="F282" s="253"/>
      <c r="G282" s="212"/>
      <c r="H282" s="214"/>
    </row>
    <row r="283" spans="1:14" ht="15">
      <c r="A283" s="207"/>
      <c r="B283" s="301" t="str">
        <f>B249</f>
        <v>NEAR POST OFFICE, NILESHWAR</v>
      </c>
      <c r="C283" s="302" t="str">
        <f>C249</f>
        <v>NILESHWAR</v>
      </c>
      <c r="D283" s="230"/>
      <c r="E283" s="210"/>
      <c r="F283" s="210"/>
      <c r="G283" s="212"/>
      <c r="H283" s="214"/>
    </row>
    <row r="284" spans="1:14" ht="15">
      <c r="A284" s="211" t="s">
        <v>546</v>
      </c>
      <c r="B284" s="211"/>
      <c r="C284" s="211"/>
      <c r="D284" s="211"/>
      <c r="E284" s="211"/>
      <c r="F284" s="212"/>
      <c r="G284" s="212"/>
      <c r="H284" s="214"/>
    </row>
    <row r="285" spans="1:14" ht="15">
      <c r="A285" s="212" t="s">
        <v>547</v>
      </c>
      <c r="B285" s="212"/>
      <c r="C285" s="212"/>
      <c r="D285" s="212"/>
      <c r="E285" s="212"/>
      <c r="F285" s="212"/>
      <c r="G285" s="212"/>
      <c r="H285" s="214"/>
    </row>
    <row r="286" spans="1:14" ht="15">
      <c r="A286" s="213" t="s">
        <v>548</v>
      </c>
      <c r="B286" s="213"/>
      <c r="C286" s="213" t="s">
        <v>424</v>
      </c>
      <c r="D286" s="213" t="s">
        <v>549</v>
      </c>
      <c r="E286" s="213"/>
      <c r="F286" s="213" t="s">
        <v>424</v>
      </c>
      <c r="G286" s="212"/>
      <c r="H286" s="214"/>
    </row>
    <row r="287" spans="1:14" ht="15">
      <c r="A287" s="212"/>
      <c r="B287" s="212"/>
      <c r="C287" s="214"/>
      <c r="D287" s="214"/>
      <c r="E287" s="214"/>
      <c r="F287" s="214"/>
      <c r="G287" s="212"/>
      <c r="H287" s="214"/>
    </row>
    <row r="288" spans="1:14" ht="15">
      <c r="A288" s="212" t="s">
        <v>425</v>
      </c>
      <c r="B288" s="212"/>
      <c r="C288" s="214">
        <f>F262</f>
        <v>143710.875</v>
      </c>
      <c r="D288" s="214" t="str">
        <f>D218</f>
        <v>By  Sales Revenue ( Less S. Returns)</v>
      </c>
      <c r="E288" s="214"/>
      <c r="F288" s="214">
        <f>'PROJECT REPORT '!J753*100000-'PROJECT REPORT '!J649*100000-G295</f>
        <v>1965388.8724548679</v>
      </c>
      <c r="G288" s="212"/>
      <c r="H288" s="214"/>
    </row>
    <row r="289" spans="1:8" ht="15">
      <c r="A289" s="212" t="str">
        <f>A150</f>
        <v>" Purchases (Including GST)</v>
      </c>
      <c r="B289" s="212"/>
      <c r="C289" s="214">
        <f>'PROJECT REPORT '!J757*100000</f>
        <v>630222.77310300001</v>
      </c>
      <c r="D289" s="214"/>
      <c r="E289" s="214"/>
      <c r="F289" s="214" t="s">
        <v>541</v>
      </c>
      <c r="G289" s="212"/>
      <c r="H289" s="214"/>
    </row>
    <row r="290" spans="1:8" ht="15">
      <c r="A290" s="212"/>
      <c r="B290" s="212"/>
      <c r="C290" s="214"/>
      <c r="D290" s="214"/>
      <c r="E290" s="214"/>
      <c r="F290" s="214"/>
      <c r="G290" s="212"/>
      <c r="H290" s="214"/>
    </row>
    <row r="291" spans="1:8" ht="15">
      <c r="A291" s="212"/>
      <c r="B291" s="212"/>
      <c r="C291" s="214"/>
      <c r="D291" s="214"/>
      <c r="E291" s="214"/>
      <c r="G291" s="212"/>
      <c r="H291" s="214"/>
    </row>
    <row r="292" spans="1:8" ht="15">
      <c r="A292" s="212" t="s">
        <v>429</v>
      </c>
      <c r="B292" s="212"/>
      <c r="C292" s="214">
        <f>F293-C288-C289-C291</f>
        <v>1342351.6431018678</v>
      </c>
      <c r="D292" s="214" t="s">
        <v>475</v>
      </c>
      <c r="E292" s="214"/>
      <c r="F292" s="214">
        <f>C288*105/100</f>
        <v>150896.41875000001</v>
      </c>
      <c r="G292" s="212"/>
      <c r="H292" s="214"/>
    </row>
    <row r="293" spans="1:8" ht="16">
      <c r="A293" s="211" t="s">
        <v>430</v>
      </c>
      <c r="B293" s="211"/>
      <c r="C293" s="215">
        <f>SUM(C288:C292)</f>
        <v>2116285.2912048679</v>
      </c>
      <c r="D293" s="216" t="s">
        <v>431</v>
      </c>
      <c r="E293" s="216"/>
      <c r="F293" s="215">
        <f>SUM(F287:F292)</f>
        <v>2116285.2912048679</v>
      </c>
      <c r="G293" s="245">
        <f>C649</f>
        <v>0</v>
      </c>
      <c r="H293" s="214"/>
    </row>
    <row r="294" spans="1:8" ht="15">
      <c r="A294" s="212" t="s">
        <v>433</v>
      </c>
      <c r="B294" s="212"/>
      <c r="C294" s="214">
        <f>'PROJECT REPORT '!J763*100000</f>
        <v>468864</v>
      </c>
      <c r="D294" s="212" t="s">
        <v>432</v>
      </c>
      <c r="E294" s="214"/>
      <c r="F294" s="214">
        <f>C292</f>
        <v>1342351.6431018678</v>
      </c>
      <c r="G294" s="214" t="str">
        <f>G220</f>
        <v>Difference</v>
      </c>
      <c r="H294" s="214"/>
    </row>
    <row r="295" spans="1:8" ht="15">
      <c r="A295" s="212" t="s">
        <v>434</v>
      </c>
      <c r="B295" s="212"/>
      <c r="C295" s="214">
        <f>'PROJECT REPORT '!J779*100000</f>
        <v>5808</v>
      </c>
      <c r="D295" s="212"/>
      <c r="E295" s="214"/>
      <c r="F295" s="214"/>
      <c r="G295" s="214">
        <f>F292-C288</f>
        <v>7185.5437500000116</v>
      </c>
      <c r="H295" s="214"/>
    </row>
    <row r="296" spans="1:8" ht="15">
      <c r="A296" s="212" t="s">
        <v>435</v>
      </c>
      <c r="B296" s="212"/>
      <c r="C296" s="214">
        <f>'PROJECT REPORT '!J761*100000</f>
        <v>7260</v>
      </c>
      <c r="D296" s="212"/>
      <c r="E296" s="214"/>
      <c r="F296" s="214"/>
      <c r="G296" s="214"/>
      <c r="H296" s="214"/>
    </row>
    <row r="297" spans="1:8" ht="15">
      <c r="A297" s="212" t="s">
        <v>436</v>
      </c>
      <c r="B297" s="212"/>
      <c r="C297" s="214">
        <f>'PROJECT REPORT '!J786*100000</f>
        <v>13067.999999999998</v>
      </c>
      <c r="D297" s="212"/>
      <c r="E297" s="214"/>
      <c r="F297" s="214"/>
      <c r="G297" s="214"/>
      <c r="H297" s="214"/>
    </row>
    <row r="298" spans="1:8" ht="15">
      <c r="A298" s="212" t="s">
        <v>437</v>
      </c>
      <c r="B298" s="212"/>
      <c r="C298" s="214">
        <f>'PROJECT REPORT '!J769*100000</f>
        <v>1452</v>
      </c>
      <c r="D298" s="212"/>
      <c r="E298" s="214"/>
      <c r="F298" s="214"/>
      <c r="G298" s="214"/>
      <c r="H298" s="214"/>
    </row>
    <row r="299" spans="1:8" ht="15">
      <c r="A299" s="212" t="s">
        <v>476</v>
      </c>
      <c r="B299" s="212"/>
      <c r="C299" s="214">
        <f>'PROJECT REPORT '!J765*100000</f>
        <v>8711.9999999999982</v>
      </c>
      <c r="D299" s="212"/>
      <c r="E299" s="214"/>
      <c r="F299" s="214"/>
      <c r="G299" s="214"/>
      <c r="H299" s="214"/>
    </row>
    <row r="300" spans="1:8" ht="16">
      <c r="A300" s="212" t="s">
        <v>440</v>
      </c>
      <c r="B300" s="212"/>
      <c r="C300" s="214">
        <f>'PROJECT REPORT '!J767*100000</f>
        <v>1452</v>
      </c>
      <c r="D300" s="212"/>
      <c r="E300" s="214"/>
      <c r="F300" s="214"/>
      <c r="G300" s="214"/>
      <c r="H300" s="100"/>
    </row>
    <row r="301" spans="1:8" ht="16">
      <c r="A301" s="212" t="s">
        <v>477</v>
      </c>
      <c r="B301" s="212"/>
      <c r="C301" s="214">
        <f>'PROJECT REPORT '!J790*100000</f>
        <v>18575.812500000004</v>
      </c>
      <c r="D301" s="212"/>
      <c r="E301" s="214"/>
      <c r="F301" s="214"/>
      <c r="G301" s="214"/>
      <c r="H301" s="100"/>
    </row>
    <row r="302" spans="1:8" ht="16">
      <c r="A302" s="212" t="s">
        <v>441</v>
      </c>
      <c r="B302" s="212"/>
      <c r="C302" s="214">
        <f>'PROJECT REPORT '!J771*100000</f>
        <v>14520</v>
      </c>
      <c r="D302" s="212"/>
      <c r="E302" s="214"/>
      <c r="F302" s="214"/>
      <c r="G302" s="214"/>
      <c r="H302" s="100"/>
    </row>
    <row r="303" spans="1:8" ht="16">
      <c r="A303" s="212" t="s">
        <v>442</v>
      </c>
      <c r="B303" s="212"/>
      <c r="C303" s="214">
        <f>G333</f>
        <v>59043.6</v>
      </c>
      <c r="D303" s="212"/>
      <c r="E303" s="214"/>
      <c r="F303" s="214"/>
      <c r="G303" s="214"/>
      <c r="H303" s="100"/>
    </row>
    <row r="304" spans="1:8" ht="15">
      <c r="A304" s="212" t="s">
        <v>443</v>
      </c>
      <c r="B304" s="212"/>
      <c r="C304" s="214">
        <f>'PROJECT REPORT '!J759*100000</f>
        <v>72600.000000000015</v>
      </c>
      <c r="D304" s="212"/>
      <c r="E304" s="214"/>
      <c r="F304" s="214"/>
      <c r="G304" s="214" t="s">
        <v>438</v>
      </c>
      <c r="H304" s="238"/>
    </row>
    <row r="305" spans="1:8" ht="15">
      <c r="A305" s="212" t="s">
        <v>478</v>
      </c>
      <c r="B305" s="212"/>
      <c r="C305" s="214">
        <f>'PROJECT REPORT '!J773*100000</f>
        <v>234352.80000000005</v>
      </c>
      <c r="D305" s="212"/>
      <c r="E305" s="214"/>
      <c r="F305" s="214"/>
      <c r="G305" s="214">
        <f>'PROJECT REPORT '!J796*100000</f>
        <v>426313.90260186774</v>
      </c>
      <c r="H305" s="234"/>
    </row>
    <row r="306" spans="1:8" ht="15">
      <c r="A306" s="212" t="s">
        <v>479</v>
      </c>
      <c r="B306" s="212"/>
      <c r="C306" s="214">
        <f>'PROJECT REPORT '!J775*100000</f>
        <v>2343.5280000000002</v>
      </c>
      <c r="D306" s="212"/>
      <c r="E306" s="214"/>
      <c r="F306" s="214"/>
      <c r="G306" s="214"/>
      <c r="H306" s="121"/>
    </row>
    <row r="307" spans="1:8" ht="15">
      <c r="A307" s="212" t="s">
        <v>480</v>
      </c>
      <c r="B307" s="212"/>
      <c r="C307" s="214">
        <f>'PROJECT REPORT '!J777*100000</f>
        <v>7986</v>
      </c>
      <c r="D307" s="212"/>
      <c r="E307" s="214"/>
      <c r="F307" s="214"/>
      <c r="G307" s="214"/>
      <c r="H307" s="121"/>
    </row>
    <row r="308" spans="1:8" ht="15">
      <c r="A308" s="212" t="s">
        <v>444</v>
      </c>
      <c r="B308" s="212"/>
      <c r="C308" s="214">
        <f>F310-C294-C295-C296-C297-C298-C299-C300-C301-C302-C303-C304-C305-C306-C307</f>
        <v>426313.90260186774</v>
      </c>
      <c r="D308" s="212"/>
      <c r="E308" s="214"/>
      <c r="F308" s="214"/>
      <c r="G308" s="214">
        <f>C308-G305</f>
        <v>0</v>
      </c>
      <c r="H308" s="121"/>
    </row>
    <row r="309" spans="1:8" ht="16" hidden="1">
      <c r="A309" s="212"/>
      <c r="B309" s="212"/>
      <c r="C309" s="217"/>
      <c r="D309" s="214"/>
      <c r="E309" s="214"/>
      <c r="F309" s="214"/>
      <c r="G309" s="214"/>
      <c r="H309" s="245"/>
    </row>
    <row r="310" spans="1:8" ht="16">
      <c r="A310" s="211" t="s">
        <v>445</v>
      </c>
      <c r="B310" s="211"/>
      <c r="C310" s="218">
        <f>SUM(C294:C309)</f>
        <v>1342351.6431018678</v>
      </c>
      <c r="D310" s="216" t="s">
        <v>446</v>
      </c>
      <c r="E310" s="216"/>
      <c r="F310" s="218">
        <f>SUM(F294:F309)</f>
        <v>1342351.6431018678</v>
      </c>
      <c r="G310" s="214"/>
      <c r="H310" s="245"/>
    </row>
    <row r="311" spans="1:8" ht="16">
      <c r="A311" s="219"/>
      <c r="B311" s="219"/>
      <c r="C311" s="220"/>
      <c r="D311" s="220"/>
      <c r="E311" s="220"/>
      <c r="F311" s="220"/>
      <c r="G311" s="214"/>
      <c r="H311" s="245"/>
    </row>
    <row r="312" spans="1:8" ht="16">
      <c r="A312" s="212"/>
      <c r="B312" s="212"/>
      <c r="C312" s="221" t="s">
        <v>481</v>
      </c>
      <c r="D312" s="303" t="str">
        <f>D276</f>
        <v xml:space="preserve">M/S.SHAS DESIGN AND PRINTING </v>
      </c>
      <c r="E312" s="214"/>
      <c r="F312" s="214"/>
      <c r="G312" s="214"/>
      <c r="H312" s="100"/>
    </row>
    <row r="313" spans="1:8" ht="16">
      <c r="A313" s="212" t="str">
        <f>A277</f>
        <v>NILESHWAR</v>
      </c>
      <c r="B313" s="212"/>
      <c r="C313" s="214"/>
      <c r="D313" s="223"/>
      <c r="F313" s="214"/>
      <c r="G313" s="214"/>
      <c r="H313" s="100"/>
    </row>
    <row r="314" spans="1:8" ht="16">
      <c r="A314" s="224">
        <f ca="1">A278</f>
        <v>45896</v>
      </c>
      <c r="B314" s="212"/>
      <c r="C314" s="214"/>
      <c r="D314" s="303"/>
      <c r="E314" s="214"/>
      <c r="F314" s="214"/>
      <c r="G314" s="214"/>
      <c r="H314" s="245"/>
    </row>
    <row r="315" spans="1:8" ht="16">
      <c r="C315" s="121"/>
      <c r="D315" s="225" t="s">
        <v>447</v>
      </c>
      <c r="G315" s="214"/>
      <c r="H315" s="245"/>
    </row>
    <row r="316" spans="1:8" ht="16" hidden="1">
      <c r="C316" s="121"/>
      <c r="D316" s="192"/>
      <c r="G316" s="214"/>
      <c r="H316" s="245"/>
    </row>
    <row r="317" spans="1:8" ht="16">
      <c r="C317" s="121"/>
      <c r="D317" s="192"/>
      <c r="G317" s="214"/>
      <c r="H317" s="245"/>
    </row>
    <row r="318" spans="1:8" ht="16.5">
      <c r="B318" s="122" t="str">
        <f>B282</f>
        <v>Mr.SHAFEEK N N</v>
      </c>
      <c r="C318" s="226" t="str">
        <f>C282</f>
        <v xml:space="preserve">M/S.SHAS DESIGN AND PRINTING </v>
      </c>
      <c r="D318" s="100"/>
      <c r="E318" s="100"/>
      <c r="G318" s="214"/>
      <c r="H318" s="245"/>
    </row>
    <row r="319" spans="1:8" ht="16">
      <c r="A319" s="207"/>
      <c r="B319" s="229" t="str">
        <f>B283</f>
        <v>NEAR POST OFFICE, NILESHWAR</v>
      </c>
      <c r="C319" s="313" t="str">
        <f>C283</f>
        <v>NILESHWAR</v>
      </c>
      <c r="D319" s="230"/>
      <c r="E319" s="230"/>
      <c r="F319" s="230"/>
      <c r="G319" s="214"/>
      <c r="H319" s="245"/>
    </row>
    <row r="320" spans="1:8" ht="15">
      <c r="A320" s="232" t="s">
        <v>550</v>
      </c>
      <c r="B320" s="232"/>
      <c r="C320" s="233"/>
      <c r="D320" s="233"/>
      <c r="E320" s="233"/>
      <c r="F320" s="234"/>
      <c r="G320" s="214"/>
    </row>
    <row r="321" spans="1:15" ht="16">
      <c r="A321" s="236" t="s">
        <v>449</v>
      </c>
      <c r="B321" s="236" t="s">
        <v>73</v>
      </c>
      <c r="C321" s="237" t="s">
        <v>73</v>
      </c>
      <c r="D321" s="237" t="s">
        <v>450</v>
      </c>
      <c r="E321" s="237" t="s">
        <v>73</v>
      </c>
      <c r="F321" s="237" t="s">
        <v>73</v>
      </c>
      <c r="G321" s="214"/>
      <c r="H321" s="245"/>
    </row>
    <row r="322" spans="1:15" ht="16">
      <c r="A322" s="240" t="str">
        <f>A252</f>
        <v>NON CURRENT LIABILITIES</v>
      </c>
      <c r="C322" s="121"/>
      <c r="D322" s="243" t="s">
        <v>451</v>
      </c>
      <c r="E322" s="121"/>
      <c r="F322" s="121"/>
      <c r="G322" s="214"/>
      <c r="H322" s="245"/>
    </row>
    <row r="323" spans="1:15" ht="20.5">
      <c r="A323" s="247" t="s">
        <v>452</v>
      </c>
      <c r="B323" s="214">
        <f>C257</f>
        <v>1205546.5913146758</v>
      </c>
      <c r="C323" s="214"/>
      <c r="D323" s="258" t="str">
        <f>D253</f>
        <v>Tangible Asset  (Machinary &amp; Tools )</v>
      </c>
      <c r="E323" s="244"/>
      <c r="F323" s="245"/>
      <c r="H323" s="245"/>
    </row>
    <row r="324" spans="1:15" ht="16">
      <c r="A324" s="116" t="s">
        <v>453</v>
      </c>
      <c r="B324" s="250">
        <f>C308</f>
        <v>426313.90260186774</v>
      </c>
      <c r="C324" s="214"/>
      <c r="D324" s="19" t="str">
        <f>D254</f>
        <v>MACHINERY &amp; FITTINGS</v>
      </c>
      <c r="E324" s="201">
        <f>F255</f>
        <v>590436</v>
      </c>
      <c r="F324" s="245"/>
      <c r="H324" s="245"/>
    </row>
    <row r="325" spans="1:15" ht="19">
      <c r="A325" s="116"/>
      <c r="B325" s="214">
        <f>SUM(B323:B324)</f>
        <v>1631860.4939165434</v>
      </c>
      <c r="C325" s="214"/>
      <c r="D325" s="121" t="s">
        <v>454</v>
      </c>
      <c r="E325" s="244">
        <f>E324*10/100</f>
        <v>59043.6</v>
      </c>
      <c r="F325" s="245">
        <f>E324-E325</f>
        <v>531392.4</v>
      </c>
      <c r="H325" s="245"/>
    </row>
    <row r="326" spans="1:15" ht="16.5">
      <c r="A326" s="116" t="s">
        <v>455</v>
      </c>
      <c r="B326" s="254">
        <f>'PROJECT REPORT '!J662*100000</f>
        <v>72600</v>
      </c>
      <c r="D326" s="100"/>
      <c r="E326" s="245"/>
      <c r="F326" s="245"/>
      <c r="H326" s="245"/>
    </row>
    <row r="327" spans="1:15" ht="20.5">
      <c r="A327" s="116"/>
      <c r="B327" s="214">
        <f>C327</f>
        <v>1559260.4939165434</v>
      </c>
      <c r="C327" s="216">
        <f>B325-B326</f>
        <v>1559260.4939165434</v>
      </c>
      <c r="D327" s="258"/>
      <c r="E327" s="244"/>
      <c r="F327" s="245"/>
      <c r="H327" s="245"/>
    </row>
    <row r="328" spans="1:15" ht="20.5">
      <c r="A328" s="314" t="str">
        <f>A258</f>
        <v>LONG TERM CURRENT LIABILITIES</v>
      </c>
      <c r="B328" s="315"/>
      <c r="C328" s="315"/>
      <c r="D328" s="100"/>
      <c r="E328" s="201"/>
      <c r="F328" s="245"/>
      <c r="H328" s="231" t="s">
        <v>482</v>
      </c>
      <c r="I328" s="270"/>
      <c r="J328" s="271">
        <f>F288</f>
        <v>1965388.8724548679</v>
      </c>
      <c r="K328" s="271"/>
      <c r="L328" s="272"/>
      <c r="M328" s="121"/>
      <c r="N328" s="121"/>
    </row>
    <row r="329" spans="1:15" ht="16">
      <c r="A329" s="247" t="s">
        <v>501</v>
      </c>
      <c r="B329" s="214"/>
      <c r="C329" s="214"/>
      <c r="D329" s="123"/>
      <c r="E329" s="201"/>
      <c r="F329" s="245"/>
      <c r="H329" s="235" t="s">
        <v>484</v>
      </c>
      <c r="J329" s="121">
        <f>C308</f>
        <v>426313.90260186774</v>
      </c>
      <c r="K329" s="273" t="s">
        <v>484</v>
      </c>
      <c r="L329" s="274" t="s">
        <v>485</v>
      </c>
      <c r="M329" s="121"/>
      <c r="N329" s="121"/>
    </row>
    <row r="330" spans="1:15" ht="16">
      <c r="A330" s="261" t="str">
        <f>A260</f>
        <v>TERM LOAN</v>
      </c>
      <c r="B330" s="214"/>
      <c r="C330" s="214"/>
      <c r="D330" s="100"/>
      <c r="E330" s="201"/>
      <c r="F330" s="245"/>
      <c r="H330" s="239" t="s">
        <v>486</v>
      </c>
      <c r="I330" s="275"/>
      <c r="J330" s="276">
        <f>J329/J328*100</f>
        <v>21.691071348612073</v>
      </c>
      <c r="K330" s="273" t="s">
        <v>487</v>
      </c>
      <c r="L330" s="277"/>
      <c r="M330" s="121"/>
      <c r="N330" s="121"/>
    </row>
    <row r="331" spans="1:15" ht="16">
      <c r="A331" s="116" t="str">
        <f>A261</f>
        <v>FEDERAL BANK</v>
      </c>
      <c r="B331" s="214">
        <f>'PROJECT REPORT '!L818*100000</f>
        <v>126912.50000000004</v>
      </c>
      <c r="C331" s="214"/>
      <c r="D331" s="100"/>
      <c r="E331" s="201"/>
      <c r="F331" s="245"/>
      <c r="G331" s="214">
        <f>G305-C308</f>
        <v>0</v>
      </c>
      <c r="H331" s="234"/>
      <c r="I331" s="278"/>
      <c r="N331" s="121"/>
    </row>
    <row r="332" spans="1:15" ht="16">
      <c r="A332" s="261" t="str">
        <f>A262</f>
        <v>CASH CREDIT</v>
      </c>
      <c r="B332" s="214"/>
      <c r="C332" s="214"/>
      <c r="D332" s="129" t="str">
        <f>D260</f>
        <v>CURRENT ASSETS , LOANS AND ADVANCES</v>
      </c>
      <c r="E332" s="316"/>
      <c r="F332" s="245"/>
      <c r="G332" s="100" t="s">
        <v>456</v>
      </c>
      <c r="H332" s="249"/>
      <c r="I332" s="270"/>
      <c r="J332" s="279"/>
      <c r="K332" s="60" t="s">
        <v>482</v>
      </c>
      <c r="L332" s="60"/>
      <c r="M332" s="279"/>
      <c r="N332" s="271"/>
      <c r="O332" s="85"/>
    </row>
    <row r="333" spans="1:15" ht="19">
      <c r="A333" s="116" t="str">
        <f>A263</f>
        <v>FEDERAL BANK</v>
      </c>
      <c r="B333" s="130">
        <f>'PROJECT REPORT '!L814*100000</f>
        <v>50000</v>
      </c>
      <c r="D333" s="245" t="s">
        <v>461</v>
      </c>
      <c r="E333" s="244"/>
      <c r="F333" s="214">
        <f>C344-F325-F328-F330-F334-F337-F338-F339</f>
        <v>776690.17011209589</v>
      </c>
      <c r="G333" s="100">
        <f>E325</f>
        <v>59043.6</v>
      </c>
      <c r="H333" s="251" t="s">
        <v>491</v>
      </c>
      <c r="I333" s="280"/>
      <c r="J333" s="276">
        <f>J328/(F275+F344)/2</f>
        <v>0.29843122879358869</v>
      </c>
      <c r="K333" s="281" t="s">
        <v>492</v>
      </c>
      <c r="L333" s="281"/>
      <c r="M333" s="281"/>
      <c r="N333" s="273"/>
      <c r="O333" s="282"/>
    </row>
    <row r="334" spans="1:15" ht="16">
      <c r="B334" s="141">
        <f>C334</f>
        <v>176912.50000000006</v>
      </c>
      <c r="C334" s="123">
        <f>B331+B333</f>
        <v>176912.50000000006</v>
      </c>
      <c r="D334" s="100" t="s">
        <v>460</v>
      </c>
      <c r="E334" s="100"/>
      <c r="F334" s="214">
        <f>F292</f>
        <v>150896.41875000001</v>
      </c>
      <c r="G334" s="245" t="s">
        <v>457</v>
      </c>
      <c r="H334" s="245"/>
      <c r="J334" t="s">
        <v>381</v>
      </c>
      <c r="N334" s="121"/>
    </row>
    <row r="335" spans="1:15" ht="16">
      <c r="A335" s="240" t="str">
        <f>A265</f>
        <v>DEFERRED TAX LIABILITIES</v>
      </c>
      <c r="B335" s="133"/>
      <c r="C335" s="121"/>
      <c r="D335" s="100"/>
      <c r="E335" s="100"/>
      <c r="F335" s="214"/>
      <c r="G335" s="245" t="s">
        <v>458</v>
      </c>
      <c r="H335" s="255" t="s">
        <v>495</v>
      </c>
      <c r="I335" s="270"/>
      <c r="J335" s="271">
        <f>(C288+C289)-F292</f>
        <v>623037.22935299994</v>
      </c>
      <c r="K335" s="60" t="s">
        <v>496</v>
      </c>
      <c r="L335" s="60"/>
      <c r="M335" s="279"/>
      <c r="N335" s="272"/>
    </row>
    <row r="336" spans="1:15" ht="16.5">
      <c r="A336" s="240" t="str">
        <f>'T,P&amp;L,BS'!A266</f>
        <v>OTHER  CURRENT LIABILITIES</v>
      </c>
      <c r="B336" s="133"/>
      <c r="C336" s="121"/>
      <c r="D336" s="254" t="s">
        <v>463</v>
      </c>
      <c r="E336" s="245"/>
      <c r="F336" s="245"/>
      <c r="G336" s="245">
        <f>E324</f>
        <v>590436</v>
      </c>
      <c r="H336" s="256" t="s">
        <v>497</v>
      </c>
      <c r="J336" s="290">
        <f>J335/J337</f>
        <v>2.8428537704918031</v>
      </c>
      <c r="K336" t="s">
        <v>498</v>
      </c>
      <c r="N336" s="274"/>
    </row>
    <row r="337" spans="1:14" ht="16">
      <c r="A337" s="116" t="s">
        <v>459</v>
      </c>
      <c r="B337" s="133"/>
      <c r="C337" s="100">
        <f>F288*0.2929/100</f>
        <v>5756.6240074203079</v>
      </c>
      <c r="D337" s="214" t="s">
        <v>464</v>
      </c>
      <c r="E337" s="245"/>
      <c r="F337" s="245">
        <f>'PROJECT REPORT '!J666*100000</f>
        <v>255792.97546186775</v>
      </c>
      <c r="G337" s="245"/>
      <c r="H337" s="259" t="s">
        <v>500</v>
      </c>
      <c r="I337" s="280"/>
      <c r="J337" s="283">
        <f>C288+F292/2</f>
        <v>219159.08437500001</v>
      </c>
      <c r="K337" s="281"/>
      <c r="L337" s="281"/>
      <c r="M337" s="281"/>
      <c r="N337" s="277"/>
    </row>
    <row r="338" spans="1:14" ht="18.5">
      <c r="A338" s="240" t="str">
        <f>A269</f>
        <v>SHORT TERM PROVISIONS</v>
      </c>
      <c r="B338" s="133"/>
      <c r="C338" s="100"/>
      <c r="D338" s="100" t="s">
        <v>518</v>
      </c>
      <c r="E338" s="244"/>
      <c r="F338" s="245">
        <f>F264*114/100</f>
        <v>48152.847600000001</v>
      </c>
      <c r="H338" s="260" t="s">
        <v>502</v>
      </c>
      <c r="I338" s="284"/>
      <c r="J338" s="285">
        <f>J339/J340</f>
        <v>46.035466134763844</v>
      </c>
      <c r="K338" s="279"/>
      <c r="L338" s="279"/>
      <c r="M338" s="279"/>
      <c r="N338" s="272"/>
    </row>
    <row r="339" spans="1:14" ht="15.5">
      <c r="A339" s="19" t="s">
        <v>524</v>
      </c>
      <c r="B339" s="133"/>
      <c r="C339" s="100">
        <f>'PROJECT REPORT '!J779*100000/12</f>
        <v>484</v>
      </c>
      <c r="D339" s="100"/>
      <c r="E339" s="201"/>
      <c r="F339" s="298"/>
      <c r="H339" s="262" t="s">
        <v>504</v>
      </c>
      <c r="J339" s="286">
        <f>F333+F334+F337+F338+F339</f>
        <v>1231532.4119239636</v>
      </c>
      <c r="L339" s="273" t="str">
        <f>H339</f>
        <v>Current asset total</v>
      </c>
      <c r="N339" s="274"/>
    </row>
    <row r="340" spans="1:14" ht="15.5">
      <c r="A340" s="19" t="s">
        <v>525</v>
      </c>
      <c r="B340" s="133"/>
      <c r="C340" s="100">
        <f>'PROJECT REPORT '!J769*100000/12</f>
        <v>121</v>
      </c>
      <c r="D340" s="19"/>
      <c r="E340" s="201"/>
      <c r="F340" s="245"/>
      <c r="H340" s="263" t="s">
        <v>506</v>
      </c>
      <c r="I340" s="280"/>
      <c r="J340" s="287">
        <f>C337+C339+C340+C341+C342</f>
        <v>26751.818007420316</v>
      </c>
      <c r="K340" s="281"/>
      <c r="L340" s="283" t="str">
        <f>H340</f>
        <v>Current liabilty  total</v>
      </c>
      <c r="M340" s="281"/>
      <c r="N340" s="277"/>
    </row>
    <row r="341" spans="1:14" ht="15.5">
      <c r="A341" s="116" t="s">
        <v>538</v>
      </c>
      <c r="C341" s="100">
        <f>('PROJECT REPORT '!J773+'PROJECT REPORT '!J775)*(100000/12)</f>
        <v>19724.694000000007</v>
      </c>
      <c r="D341" s="19"/>
      <c r="E341" s="201"/>
      <c r="F341" s="245"/>
      <c r="H341" s="265" t="s">
        <v>508</v>
      </c>
      <c r="I341" s="270"/>
      <c r="J341" s="285">
        <f>J342/J340</f>
        <v>46.035466134763844</v>
      </c>
      <c r="K341" s="271"/>
      <c r="L341" s="60" t="s">
        <v>509</v>
      </c>
      <c r="M341" s="60"/>
      <c r="N341" s="288">
        <f>J342</f>
        <v>1231532.4119239636</v>
      </c>
    </row>
    <row r="342" spans="1:14" ht="16">
      <c r="A342" s="19" t="s">
        <v>528</v>
      </c>
      <c r="B342" s="133"/>
      <c r="C342" s="100">
        <f>'PROJECT REPORT '!J777*100000/12</f>
        <v>665.5</v>
      </c>
      <c r="D342" s="19"/>
      <c r="E342" s="201"/>
      <c r="F342" s="245"/>
      <c r="G342" s="214"/>
      <c r="H342" s="266" t="s">
        <v>510</v>
      </c>
      <c r="I342" s="280"/>
      <c r="J342" s="130">
        <f>F337+F338+F333+F334</f>
        <v>1231532.4119239636</v>
      </c>
      <c r="K342" s="273"/>
      <c r="L342" s="283" t="s">
        <v>511</v>
      </c>
      <c r="M342" s="281"/>
      <c r="N342" s="277">
        <f>J340</f>
        <v>26751.818007420316</v>
      </c>
    </row>
    <row r="343" spans="1:14" ht="15.5" hidden="1">
      <c r="B343" s="133"/>
      <c r="C343" s="121"/>
      <c r="G343" s="253"/>
      <c r="H343" s="255"/>
      <c r="I343" s="270"/>
      <c r="J343" s="289"/>
      <c r="K343" s="271"/>
      <c r="L343" s="279"/>
      <c r="M343" s="279"/>
      <c r="N343" s="272"/>
    </row>
    <row r="344" spans="1:14" ht="15.5">
      <c r="A344" s="20" t="s">
        <v>465</v>
      </c>
      <c r="B344" s="253"/>
      <c r="C344" s="317">
        <f>SUM(C323:C343)</f>
        <v>1762924.8119239637</v>
      </c>
      <c r="D344" s="253" t="s">
        <v>466</v>
      </c>
      <c r="E344" s="253"/>
      <c r="F344" s="317">
        <f>SUM(F324:F339)</f>
        <v>1762924.8119239635</v>
      </c>
      <c r="G344" s="245" t="s">
        <v>462</v>
      </c>
      <c r="H344" s="256" t="s">
        <v>545</v>
      </c>
      <c r="I344" s="137"/>
      <c r="J344" s="290">
        <f>N344/N345</f>
        <v>1.5106042995876177E-2</v>
      </c>
      <c r="L344" s="281" t="s">
        <v>516</v>
      </c>
      <c r="M344" s="281"/>
      <c r="N344" s="277">
        <f>C337+C339+C341+C342</f>
        <v>26630.818007420316</v>
      </c>
    </row>
    <row r="345" spans="1:14" ht="15.5">
      <c r="A345" s="178"/>
      <c r="B345" s="190"/>
      <c r="C345" s="190"/>
      <c r="D345" s="191"/>
      <c r="E345" s="191"/>
      <c r="F345" s="191"/>
      <c r="G345" s="245"/>
      <c r="H345" s="259"/>
      <c r="I345" s="280"/>
      <c r="J345" s="130"/>
      <c r="K345" s="273"/>
      <c r="L345" s="273" t="s">
        <v>458</v>
      </c>
      <c r="M345" s="273"/>
      <c r="N345" s="277">
        <f>F344</f>
        <v>1762924.8119239635</v>
      </c>
    </row>
    <row r="346" spans="1:14" ht="16">
      <c r="A346" s="184"/>
      <c r="B346" s="188"/>
      <c r="C346" s="221" t="s">
        <v>481</v>
      </c>
      <c r="D346" s="222" t="str">
        <f>D312</f>
        <v xml:space="preserve">M/S.SHAS DESIGN AND PRINTING </v>
      </c>
      <c r="E346" s="170"/>
      <c r="F346" s="170"/>
      <c r="G346" s="253">
        <f>F344-C344</f>
        <v>0</v>
      </c>
      <c r="H346" s="260" t="s">
        <v>520</v>
      </c>
      <c r="I346" s="291"/>
      <c r="J346" s="285">
        <f>J347/J348</f>
        <v>0.44776913682449965</v>
      </c>
      <c r="K346" s="271"/>
      <c r="L346" s="292" t="s">
        <v>521</v>
      </c>
      <c r="M346" s="288"/>
      <c r="N346" s="121"/>
    </row>
    <row r="347" spans="1:14" ht="15.5">
      <c r="A347" s="20"/>
      <c r="B347" s="253"/>
      <c r="C347" s="188"/>
      <c r="D347" s="223"/>
      <c r="E347" s="151"/>
      <c r="F347" s="245"/>
      <c r="H347" s="293" t="s">
        <v>521</v>
      </c>
      <c r="J347" s="121">
        <f>C334+C337+C339+C340+C341+C342</f>
        <v>203664.31800742037</v>
      </c>
      <c r="K347" s="121"/>
      <c r="L347" s="121" t="s">
        <v>523</v>
      </c>
      <c r="M347" s="274"/>
      <c r="N347" s="121"/>
    </row>
    <row r="348" spans="1:14" ht="16">
      <c r="A348" s="212" t="str">
        <f>A313</f>
        <v>NILESHWAR</v>
      </c>
      <c r="B348" s="253"/>
      <c r="C348" s="188"/>
      <c r="D348" s="222"/>
      <c r="E348" s="151"/>
      <c r="F348" s="245"/>
      <c r="G348" s="100"/>
      <c r="H348" s="294" t="s">
        <v>523</v>
      </c>
      <c r="I348" s="280"/>
      <c r="J348" s="273">
        <f>F334+F337+F338</f>
        <v>454842.24181186775</v>
      </c>
      <c r="K348" s="273"/>
      <c r="L348" s="273"/>
      <c r="M348" s="277"/>
      <c r="N348" s="121"/>
    </row>
    <row r="349" spans="1:14" ht="16">
      <c r="A349" s="224">
        <f ca="1">A314</f>
        <v>45896</v>
      </c>
      <c r="B349" s="253"/>
      <c r="C349" s="188"/>
      <c r="D349" s="225" t="str">
        <f>D315</f>
        <v>Proprietor</v>
      </c>
      <c r="E349" s="151"/>
      <c r="F349" s="245"/>
      <c r="G349" s="100"/>
      <c r="H349" s="245"/>
      <c r="J349" s="121"/>
      <c r="K349" s="121"/>
      <c r="L349" s="121"/>
      <c r="M349" s="121"/>
      <c r="N349" s="121"/>
    </row>
    <row r="350" spans="1:14" ht="16" hidden="1">
      <c r="A350" s="224"/>
      <c r="B350" s="253"/>
      <c r="C350" s="188"/>
      <c r="D350" s="192"/>
      <c r="E350" s="151"/>
      <c r="F350" s="245"/>
      <c r="G350" s="100"/>
      <c r="H350" s="245"/>
      <c r="J350" s="121"/>
      <c r="K350" s="121"/>
      <c r="L350" s="121"/>
      <c r="M350" s="121"/>
      <c r="N350" s="121"/>
    </row>
    <row r="351" spans="1:14" ht="16">
      <c r="A351" s="224"/>
      <c r="B351" s="253"/>
      <c r="C351" s="188"/>
      <c r="D351" s="192"/>
      <c r="E351" s="151"/>
      <c r="F351" s="245"/>
      <c r="G351" s="100"/>
      <c r="H351" s="245"/>
      <c r="J351" s="121"/>
      <c r="K351" s="121"/>
      <c r="L351" s="121"/>
      <c r="M351" s="121"/>
      <c r="N351" s="121"/>
    </row>
    <row r="352" spans="1:14" ht="16.5">
      <c r="A352" s="318"/>
      <c r="B352" s="299" t="str">
        <f>B318</f>
        <v>Mr.SHAFEEK N N</v>
      </c>
      <c r="C352" s="226" t="str">
        <f>C318</f>
        <v xml:space="preserve">M/S.SHAS DESIGN AND PRINTING </v>
      </c>
      <c r="D352" s="192"/>
      <c r="E352" s="151"/>
      <c r="F352" s="245"/>
      <c r="G352" s="100"/>
      <c r="H352" s="255"/>
      <c r="I352" s="270"/>
      <c r="J352" s="271"/>
      <c r="K352" s="271"/>
      <c r="L352" s="292" t="s">
        <v>527</v>
      </c>
      <c r="M352" s="271"/>
      <c r="N352" s="272"/>
    </row>
    <row r="353" spans="1:14" ht="16">
      <c r="A353" s="207"/>
      <c r="B353" s="301" t="str">
        <f>B319</f>
        <v>NEAR POST OFFICE, NILESHWAR</v>
      </c>
      <c r="C353" s="313" t="str">
        <f>C319</f>
        <v>NILESHWAR</v>
      </c>
      <c r="D353" s="230"/>
      <c r="E353" s="210"/>
      <c r="F353" s="210"/>
      <c r="G353" s="100"/>
      <c r="H353" s="256" t="s">
        <v>529</v>
      </c>
      <c r="I353" s="306"/>
      <c r="J353" s="290">
        <f>J328/J355</f>
        <v>1.631325141174222</v>
      </c>
      <c r="K353" s="121"/>
      <c r="L353" s="121" t="s">
        <v>530</v>
      </c>
      <c r="M353" s="121"/>
      <c r="N353" s="274"/>
    </row>
    <row r="354" spans="1:14" ht="16">
      <c r="A354" s="211" t="s">
        <v>551</v>
      </c>
      <c r="B354" s="211"/>
      <c r="C354" s="211"/>
      <c r="D354" s="211"/>
      <c r="E354" s="211"/>
      <c r="F354" s="212"/>
      <c r="G354" s="242"/>
      <c r="H354" s="256"/>
      <c r="J354" s="121"/>
      <c r="K354" s="121"/>
      <c r="L354" s="121"/>
      <c r="M354" s="121"/>
      <c r="N354" s="274"/>
    </row>
    <row r="355" spans="1:14" ht="16">
      <c r="A355" s="212"/>
      <c r="B355" s="212"/>
      <c r="C355" s="212"/>
      <c r="D355" s="212"/>
      <c r="E355" s="212"/>
      <c r="F355" s="212"/>
      <c r="G355" s="242"/>
      <c r="H355" s="297" t="s">
        <v>530</v>
      </c>
      <c r="I355" s="280"/>
      <c r="J355" s="130">
        <f>J339-J340</f>
        <v>1204780.5939165433</v>
      </c>
      <c r="K355" s="273"/>
      <c r="L355" s="273" t="s">
        <v>531</v>
      </c>
      <c r="M355" s="273"/>
      <c r="N355" s="277"/>
    </row>
    <row r="356" spans="1:14" ht="15">
      <c r="A356" s="213" t="s">
        <v>548</v>
      </c>
      <c r="B356" s="213"/>
      <c r="C356" s="213" t="s">
        <v>424</v>
      </c>
      <c r="D356" s="213" t="s">
        <v>470</v>
      </c>
      <c r="E356" s="213"/>
      <c r="F356" s="213" t="s">
        <v>424</v>
      </c>
      <c r="G356" s="121"/>
      <c r="H356" s="214"/>
      <c r="J356" s="121"/>
      <c r="K356" s="121"/>
      <c r="L356" s="121"/>
      <c r="M356" s="121"/>
      <c r="N356" s="121"/>
    </row>
    <row r="357" spans="1:14" ht="16">
      <c r="A357" s="212"/>
      <c r="B357" s="212"/>
      <c r="C357" s="214"/>
      <c r="D357" s="214"/>
      <c r="E357" s="214"/>
      <c r="F357" s="214"/>
      <c r="G357" s="245"/>
      <c r="H357" s="214"/>
    </row>
    <row r="358" spans="1:14" ht="16">
      <c r="A358" s="212" t="s">
        <v>425</v>
      </c>
      <c r="B358" s="212"/>
      <c r="C358" s="214">
        <f>F334</f>
        <v>150896.41875000001</v>
      </c>
      <c r="D358" s="214" t="str">
        <f>D288</f>
        <v>By  Sales Revenue ( Less S. Returns)</v>
      </c>
      <c r="E358" s="214"/>
      <c r="F358" s="214">
        <f>'PROJECT REPORT '!L753*100000-'PROJECT REPORT '!L649*100000-G368</f>
        <v>2076049.0043962414</v>
      </c>
      <c r="G358" s="245"/>
      <c r="H358" s="214"/>
    </row>
    <row r="359" spans="1:14" ht="16">
      <c r="A359" s="212" t="str">
        <f>A289</f>
        <v>" Purchases (Including GST)</v>
      </c>
      <c r="B359" s="212"/>
      <c r="C359" s="214">
        <f>'PROJECT REPORT '!L757*100000</f>
        <v>660473.46621194412</v>
      </c>
      <c r="D359" s="214"/>
      <c r="E359" s="214"/>
      <c r="F359" s="214" t="s">
        <v>541</v>
      </c>
      <c r="G359" s="245"/>
      <c r="H359" s="214"/>
    </row>
    <row r="360" spans="1:14" ht="16" hidden="1">
      <c r="A360" s="212"/>
      <c r="B360" s="212"/>
      <c r="C360" s="214"/>
      <c r="D360" s="214"/>
      <c r="E360" s="214"/>
      <c r="F360" s="214"/>
      <c r="G360" s="245"/>
      <c r="H360" s="214"/>
    </row>
    <row r="361" spans="1:14" ht="15">
      <c r="A361" s="212"/>
      <c r="B361" s="212"/>
      <c r="C361" s="214"/>
      <c r="D361" s="214"/>
      <c r="E361" s="214"/>
      <c r="H361" s="214"/>
    </row>
    <row r="362" spans="1:14" ht="15">
      <c r="A362" s="212" t="s">
        <v>429</v>
      </c>
      <c r="B362" s="212"/>
      <c r="C362" s="214">
        <f>F363-C358-C359-C361</f>
        <v>1423120.3591217971</v>
      </c>
      <c r="D362" s="214" t="s">
        <v>475</v>
      </c>
      <c r="E362" s="214"/>
      <c r="F362" s="214">
        <f>C358*105/100</f>
        <v>158441.23968750003</v>
      </c>
      <c r="H362" s="214"/>
    </row>
    <row r="363" spans="1:14" ht="15">
      <c r="A363" s="211" t="s">
        <v>430</v>
      </c>
      <c r="B363" s="211"/>
      <c r="C363" s="215">
        <f>SUM(C358:C362)</f>
        <v>2234490.2440837412</v>
      </c>
      <c r="D363" s="216" t="s">
        <v>431</v>
      </c>
      <c r="E363" s="216"/>
      <c r="F363" s="215">
        <f>SUM(F357:F362)</f>
        <v>2234490.2440837412</v>
      </c>
      <c r="H363" s="214"/>
    </row>
    <row r="364" spans="1:14" ht="15">
      <c r="A364" s="212"/>
      <c r="B364" s="212"/>
      <c r="C364" s="214"/>
      <c r="D364" s="214"/>
      <c r="E364" s="214"/>
      <c r="F364" s="214"/>
      <c r="G364" s="214"/>
      <c r="H364" s="214"/>
    </row>
    <row r="365" spans="1:14" ht="16">
      <c r="A365" s="212" t="s">
        <v>433</v>
      </c>
      <c r="B365" s="212"/>
      <c r="C365" s="214">
        <f>'PROJECT REPORT '!L763*100000</f>
        <v>515750.40000000002</v>
      </c>
      <c r="D365" s="212" t="s">
        <v>432</v>
      </c>
      <c r="E365" s="214"/>
      <c r="F365" s="214">
        <f>C362</f>
        <v>1423120.3591217971</v>
      </c>
      <c r="G365" s="245"/>
      <c r="H365" s="214"/>
    </row>
    <row r="366" spans="1:14" ht="15">
      <c r="A366" s="212" t="s">
        <v>434</v>
      </c>
      <c r="B366" s="212"/>
      <c r="C366" s="214">
        <f>'PROJECT REPORT '!L779*100000</f>
        <v>6388.8</v>
      </c>
      <c r="D366" s="212"/>
      <c r="E366" s="214"/>
      <c r="F366" s="214"/>
      <c r="G366" s="214" t="s">
        <v>552</v>
      </c>
      <c r="H366" s="214"/>
    </row>
    <row r="367" spans="1:14" ht="15">
      <c r="A367" s="212" t="s">
        <v>435</v>
      </c>
      <c r="B367" s="212"/>
      <c r="C367" s="214">
        <f>'PROJECT REPORT '!L761*100000</f>
        <v>7986</v>
      </c>
      <c r="D367" s="212"/>
      <c r="E367" s="214"/>
      <c r="F367" s="214"/>
      <c r="G367" s="214"/>
      <c r="H367" s="214"/>
    </row>
    <row r="368" spans="1:14" ht="15">
      <c r="A368" s="212" t="s">
        <v>436</v>
      </c>
      <c r="B368" s="212"/>
      <c r="C368" s="214">
        <f>'PROJECT REPORT '!L786*100000</f>
        <v>14374.8</v>
      </c>
      <c r="D368" s="212"/>
      <c r="E368" s="214"/>
      <c r="F368" s="214"/>
      <c r="G368" s="214">
        <f>F362-C358</f>
        <v>7544.8209375000151</v>
      </c>
      <c r="H368" s="214"/>
    </row>
    <row r="369" spans="1:8" ht="15">
      <c r="A369" s="212" t="s">
        <v>437</v>
      </c>
      <c r="B369" s="212"/>
      <c r="C369" s="214">
        <f>'PROJECT REPORT '!L769*100000</f>
        <v>1597.2</v>
      </c>
      <c r="D369" s="212"/>
      <c r="E369" s="214"/>
      <c r="F369" s="214"/>
      <c r="H369" s="214"/>
    </row>
    <row r="370" spans="1:8" ht="15">
      <c r="A370" s="212" t="s">
        <v>476</v>
      </c>
      <c r="B370" s="212"/>
      <c r="C370" s="214">
        <f>'PROJECT REPORT '!L765*100000</f>
        <v>9583.1999999999989</v>
      </c>
      <c r="D370" s="212"/>
      <c r="E370" s="214"/>
      <c r="F370" s="214"/>
      <c r="H370" s="214"/>
    </row>
    <row r="371" spans="1:8" ht="16">
      <c r="A371" s="212" t="s">
        <v>440</v>
      </c>
      <c r="B371" s="212"/>
      <c r="C371" s="214">
        <f>'PROJECT REPORT '!L767*100000</f>
        <v>1597.2</v>
      </c>
      <c r="D371" s="212"/>
      <c r="E371" s="214"/>
      <c r="F371" s="214"/>
      <c r="G371" s="245"/>
      <c r="H371" s="214"/>
    </row>
    <row r="372" spans="1:8" ht="16">
      <c r="A372" s="212" t="s">
        <v>477</v>
      </c>
      <c r="B372" s="212"/>
      <c r="C372" s="214">
        <f>'PROJECT REPORT '!L790*100000</f>
        <v>5250.0000000000045</v>
      </c>
      <c r="D372" s="212"/>
      <c r="E372" s="214"/>
      <c r="F372" s="214"/>
      <c r="G372" s="245"/>
      <c r="H372" s="100"/>
    </row>
    <row r="373" spans="1:8" ht="16">
      <c r="A373" s="212" t="s">
        <v>441</v>
      </c>
      <c r="B373" s="212"/>
      <c r="C373" s="214">
        <f>'PROJECT REPORT '!L771*100000</f>
        <v>15972</v>
      </c>
      <c r="D373" s="212"/>
      <c r="E373" s="214"/>
      <c r="F373" s="214"/>
      <c r="G373" s="245"/>
      <c r="H373" s="100"/>
    </row>
    <row r="374" spans="1:8" ht="16">
      <c r="A374" s="212" t="s">
        <v>442</v>
      </c>
      <c r="B374" s="212"/>
      <c r="C374" s="214">
        <f>G401</f>
        <v>53139.24</v>
      </c>
      <c r="D374" s="212"/>
      <c r="E374" s="214"/>
      <c r="F374" s="214"/>
      <c r="G374" s="245"/>
      <c r="H374" s="100"/>
    </row>
    <row r="375" spans="1:8" ht="16">
      <c r="A375" s="212" t="s">
        <v>443</v>
      </c>
      <c r="B375" s="212"/>
      <c r="C375" s="214">
        <f>'PROJECT REPORT '!L759*100000</f>
        <v>72600.000000000015</v>
      </c>
      <c r="D375" s="212"/>
      <c r="E375" s="214"/>
      <c r="F375" s="214"/>
      <c r="G375" s="245"/>
      <c r="H375" s="100"/>
    </row>
    <row r="376" spans="1:8" ht="16">
      <c r="A376" s="212" t="s">
        <v>478</v>
      </c>
      <c r="B376" s="212"/>
      <c r="C376" s="214">
        <f>'PROJECT REPORT '!L773*100000</f>
        <v>257788.08000000005</v>
      </c>
      <c r="D376" s="212"/>
      <c r="E376" s="214"/>
      <c r="F376" s="214"/>
      <c r="G376" s="245"/>
      <c r="H376" s="238"/>
    </row>
    <row r="377" spans="1:8" ht="16">
      <c r="A377" s="212" t="s">
        <v>479</v>
      </c>
      <c r="B377" s="212"/>
      <c r="C377" s="214">
        <f>'PROJECT REPORT '!L775*100000</f>
        <v>2577.8808000000004</v>
      </c>
      <c r="D377" s="212"/>
      <c r="E377" s="214"/>
      <c r="F377" s="214"/>
      <c r="G377" s="245"/>
      <c r="H377" s="234"/>
    </row>
    <row r="378" spans="1:8" ht="16">
      <c r="A378" s="212" t="s">
        <v>480</v>
      </c>
      <c r="B378" s="212"/>
      <c r="C378" s="214">
        <f>'PROJECT REPORT '!L777*100000</f>
        <v>8784.6</v>
      </c>
      <c r="D378" s="212"/>
      <c r="E378" s="214"/>
      <c r="F378" s="214"/>
      <c r="G378" s="245"/>
      <c r="H378" s="121"/>
    </row>
    <row r="379" spans="1:8" ht="16">
      <c r="A379" s="212" t="s">
        <v>444</v>
      </c>
      <c r="B379" s="212"/>
      <c r="C379" s="214">
        <f>F380-C365-C366-C367-C368-C369-C370-C371-C372-C373-C374-C375-C376-C377-C378</f>
        <v>449730.95832179714</v>
      </c>
      <c r="D379" s="212"/>
      <c r="E379" s="214"/>
      <c r="F379" s="214"/>
      <c r="G379" s="245"/>
      <c r="H379" s="245"/>
    </row>
    <row r="380" spans="1:8" ht="16">
      <c r="A380" s="211" t="s">
        <v>445</v>
      </c>
      <c r="B380" s="211"/>
      <c r="C380" s="218">
        <f>SUM(C365:C379)</f>
        <v>1423120.3591217971</v>
      </c>
      <c r="D380" s="216" t="s">
        <v>446</v>
      </c>
      <c r="E380" s="216"/>
      <c r="F380" s="218">
        <f>SUM(F365:F379)</f>
        <v>1423120.3591217971</v>
      </c>
      <c r="G380" s="214" t="s">
        <v>438</v>
      </c>
      <c r="H380" s="245"/>
    </row>
    <row r="381" spans="1:8" ht="16">
      <c r="A381" s="219"/>
      <c r="B381" s="219"/>
      <c r="C381" s="220"/>
      <c r="D381" s="220"/>
      <c r="E381" s="220"/>
      <c r="F381" s="220"/>
      <c r="G381" s="214">
        <f>'PROJECT REPORT '!L796*100000</f>
        <v>449730.95832179749</v>
      </c>
      <c r="H381" s="245"/>
    </row>
    <row r="382" spans="1:8" ht="16">
      <c r="A382" s="212"/>
      <c r="B382" s="212"/>
      <c r="C382" s="221" t="s">
        <v>481</v>
      </c>
      <c r="D382" s="303" t="str">
        <f>D346</f>
        <v xml:space="preserve">M/S.SHAS DESIGN AND PRINTING </v>
      </c>
      <c r="E382" s="214"/>
      <c r="F382" s="214"/>
      <c r="G382" s="214"/>
      <c r="H382" s="245"/>
    </row>
    <row r="383" spans="1:8" ht="16">
      <c r="A383" s="212" t="str">
        <f>A348</f>
        <v>NILESHWAR</v>
      </c>
      <c r="B383" s="212"/>
      <c r="C383" s="214"/>
      <c r="D383" s="223"/>
      <c r="F383" s="214"/>
      <c r="G383" s="214">
        <f>G381-C379</f>
        <v>0</v>
      </c>
      <c r="H383" s="100"/>
    </row>
    <row r="384" spans="1:8" ht="16">
      <c r="A384" s="224">
        <f ca="1">A349</f>
        <v>45896</v>
      </c>
      <c r="B384" s="212"/>
      <c r="C384" s="214"/>
      <c r="D384" s="303"/>
      <c r="E384" s="214"/>
      <c r="F384" s="214"/>
      <c r="G384" s="214"/>
      <c r="H384" s="100"/>
    </row>
    <row r="385" spans="1:14" ht="16">
      <c r="C385" s="121"/>
      <c r="D385" s="225" t="s">
        <v>447</v>
      </c>
      <c r="G385" s="214"/>
      <c r="H385" s="245"/>
    </row>
    <row r="386" spans="1:14" ht="16" hidden="1">
      <c r="C386" s="121"/>
      <c r="D386" s="192"/>
      <c r="G386" s="214"/>
      <c r="H386" s="245"/>
    </row>
    <row r="387" spans="1:14" ht="16">
      <c r="C387" s="121"/>
      <c r="D387" s="192"/>
      <c r="G387" s="214"/>
      <c r="H387" s="245"/>
    </row>
    <row r="388" spans="1:14" ht="16.5">
      <c r="B388" s="122" t="str">
        <f>B352</f>
        <v>Mr.SHAFEEK N N</v>
      </c>
      <c r="C388" s="226" t="str">
        <f>C352</f>
        <v xml:space="preserve">M/S.SHAS DESIGN AND PRINTING </v>
      </c>
      <c r="D388" s="100"/>
      <c r="E388" s="100"/>
      <c r="G388" s="214"/>
      <c r="H388" s="245"/>
    </row>
    <row r="389" spans="1:14" ht="16">
      <c r="A389" s="207"/>
      <c r="B389" s="229" t="str">
        <f>B353</f>
        <v>NEAR POST OFFICE, NILESHWAR</v>
      </c>
      <c r="C389" s="313" t="str">
        <f>C353</f>
        <v>NILESHWAR</v>
      </c>
      <c r="D389" s="230"/>
      <c r="E389" s="230"/>
      <c r="F389" s="230"/>
      <c r="H389" s="245"/>
    </row>
    <row r="390" spans="1:14" ht="16">
      <c r="A390" s="232" t="s">
        <v>553</v>
      </c>
      <c r="B390" s="232"/>
      <c r="C390" s="233"/>
      <c r="D390" s="233"/>
      <c r="E390" s="233"/>
      <c r="F390" s="234"/>
      <c r="G390" s="212"/>
      <c r="H390" s="245"/>
    </row>
    <row r="391" spans="1:14" ht="16">
      <c r="A391" s="236" t="s">
        <v>449</v>
      </c>
      <c r="B391" s="236" t="s">
        <v>73</v>
      </c>
      <c r="C391" s="237" t="s">
        <v>73</v>
      </c>
      <c r="D391" s="237" t="s">
        <v>450</v>
      </c>
      <c r="E391" s="237" t="s">
        <v>73</v>
      </c>
      <c r="F391" s="237" t="s">
        <v>73</v>
      </c>
      <c r="G391" s="212"/>
      <c r="H391" s="245"/>
    </row>
    <row r="392" spans="1:14" ht="16">
      <c r="A392" s="240" t="str">
        <f>A322</f>
        <v>NON CURRENT LIABILITIES</v>
      </c>
      <c r="C392" s="121"/>
      <c r="D392" s="243" t="s">
        <v>451</v>
      </c>
      <c r="E392" s="121"/>
      <c r="F392" s="121"/>
      <c r="G392" s="212"/>
      <c r="H392" s="245"/>
    </row>
    <row r="393" spans="1:14" ht="16">
      <c r="A393" s="247" t="s">
        <v>452</v>
      </c>
      <c r="B393" s="214">
        <f>C327</f>
        <v>1559260.4939165434</v>
      </c>
      <c r="C393" s="214"/>
      <c r="D393" s="243" t="str">
        <f>D323</f>
        <v>Tangible Asset  (Machinary &amp; Tools )</v>
      </c>
      <c r="E393" s="121"/>
      <c r="F393" s="121"/>
      <c r="G393" s="212"/>
      <c r="H393" s="245"/>
    </row>
    <row r="394" spans="1:14" ht="16">
      <c r="A394" s="116" t="s">
        <v>453</v>
      </c>
      <c r="B394" s="250">
        <f>C379</f>
        <v>449730.95832179714</v>
      </c>
      <c r="C394" s="214"/>
      <c r="D394" s="19" t="str">
        <f>D324</f>
        <v>MACHINERY &amp; FITTINGS</v>
      </c>
      <c r="E394" s="201">
        <f>F325</f>
        <v>531392.4</v>
      </c>
      <c r="F394" s="245"/>
      <c r="G394" s="211"/>
      <c r="H394" s="245"/>
    </row>
    <row r="395" spans="1:14" ht="19">
      <c r="A395" s="116"/>
      <c r="B395" s="214">
        <f>SUM(B393:B394)</f>
        <v>2008991.4522383406</v>
      </c>
      <c r="C395" s="214"/>
      <c r="D395" s="121" t="s">
        <v>454</v>
      </c>
      <c r="E395" s="244">
        <f>E394*10/100</f>
        <v>53139.24</v>
      </c>
      <c r="F395" s="245">
        <f>E394-E395</f>
        <v>478253.16000000003</v>
      </c>
      <c r="G395" s="214"/>
      <c r="H395" s="245"/>
    </row>
    <row r="396" spans="1:14" ht="20.5">
      <c r="A396" s="116" t="s">
        <v>455</v>
      </c>
      <c r="B396" s="254">
        <f>'PROJECT REPORT '!L662*100000</f>
        <v>79860</v>
      </c>
      <c r="D396" s="258"/>
      <c r="E396" s="245"/>
      <c r="F396" s="245"/>
      <c r="G396" s="214"/>
      <c r="H396" s="245"/>
    </row>
    <row r="397" spans="1:14" ht="19">
      <c r="A397" s="116"/>
      <c r="B397" s="214">
        <f>C397</f>
        <v>1929131.4522383406</v>
      </c>
      <c r="C397" s="216">
        <f>B395-B396</f>
        <v>1929131.4522383406</v>
      </c>
      <c r="D397" s="100"/>
      <c r="E397" s="244"/>
      <c r="F397" s="245"/>
      <c r="H397" s="231" t="s">
        <v>482</v>
      </c>
      <c r="I397" s="270"/>
      <c r="J397" s="271">
        <f>F358</f>
        <v>2076049.0043962414</v>
      </c>
      <c r="K397" s="271"/>
      <c r="L397" s="272"/>
      <c r="M397" s="121"/>
      <c r="N397" s="121"/>
    </row>
    <row r="398" spans="1:14" ht="16">
      <c r="A398" s="257" t="str">
        <f>A328</f>
        <v>LONG TERM CURRENT LIABILITIES</v>
      </c>
      <c r="B398" s="214"/>
      <c r="C398" s="216"/>
      <c r="D398" s="123"/>
      <c r="E398" s="201"/>
      <c r="F398" s="245"/>
      <c r="H398" s="235" t="s">
        <v>484</v>
      </c>
      <c r="J398" s="121">
        <f>C379</f>
        <v>449730.95832179714</v>
      </c>
      <c r="K398" s="273" t="s">
        <v>484</v>
      </c>
      <c r="L398" s="274" t="s">
        <v>485</v>
      </c>
      <c r="M398" s="121"/>
      <c r="N398" s="121"/>
    </row>
    <row r="399" spans="1:14" ht="19">
      <c r="A399" s="247" t="s">
        <v>501</v>
      </c>
      <c r="B399" s="214"/>
      <c r="C399" s="214"/>
      <c r="D399" s="100"/>
      <c r="E399" s="244"/>
      <c r="F399" s="245"/>
      <c r="H399" s="239" t="s">
        <v>486</v>
      </c>
      <c r="I399" s="275"/>
      <c r="J399" s="276">
        <f>J398/J397*100</f>
        <v>21.662829604187898</v>
      </c>
      <c r="K399" s="273" t="s">
        <v>487</v>
      </c>
      <c r="L399" s="277"/>
      <c r="M399" s="121"/>
      <c r="N399" s="121"/>
    </row>
    <row r="400" spans="1:14" ht="19">
      <c r="A400" s="261" t="str">
        <f>A330</f>
        <v>TERM LOAN</v>
      </c>
      <c r="B400" s="214"/>
      <c r="C400" s="214"/>
      <c r="D400" s="129" t="str">
        <f>D332</f>
        <v>CURRENT ASSETS , LOANS AND ADVANCES</v>
      </c>
      <c r="E400" s="244"/>
      <c r="F400" s="245"/>
      <c r="G400" s="100" t="s">
        <v>456</v>
      </c>
      <c r="H400" s="234"/>
      <c r="I400" s="278"/>
      <c r="N400" s="121"/>
    </row>
    <row r="401" spans="1:15" ht="19">
      <c r="A401" s="116" t="str">
        <f>A331</f>
        <v>FEDERAL BANK</v>
      </c>
      <c r="B401" s="214">
        <v>0</v>
      </c>
      <c r="C401" s="214"/>
      <c r="D401" s="245" t="s">
        <v>461</v>
      </c>
      <c r="E401" s="244"/>
      <c r="F401" s="214">
        <f>C414-F395-F397-F399-F402-F405-F406-F407</f>
        <v>1022752.0944240412</v>
      </c>
      <c r="G401" s="100">
        <f>E395</f>
        <v>53139.24</v>
      </c>
      <c r="H401" s="249"/>
      <c r="I401" s="270"/>
      <c r="J401" s="279"/>
      <c r="K401" s="60" t="s">
        <v>482</v>
      </c>
      <c r="L401" s="60"/>
      <c r="M401" s="279"/>
      <c r="N401" s="271"/>
      <c r="O401" s="85"/>
    </row>
    <row r="402" spans="1:15" ht="16">
      <c r="A402" s="261" t="str">
        <f>A332</f>
        <v>CASH CREDIT</v>
      </c>
      <c r="B402" s="214"/>
      <c r="C402" s="214"/>
      <c r="D402" s="100" t="s">
        <v>460</v>
      </c>
      <c r="E402" s="100"/>
      <c r="F402" s="214">
        <f>F362</f>
        <v>158441.23968750003</v>
      </c>
      <c r="G402" s="245" t="s">
        <v>457</v>
      </c>
      <c r="H402" s="251" t="s">
        <v>491</v>
      </c>
      <c r="I402" s="280"/>
      <c r="J402" s="276">
        <f>J397/(F344+F414)/2</f>
        <v>0.27561667819355573</v>
      </c>
      <c r="K402" s="281" t="s">
        <v>492</v>
      </c>
      <c r="L402" s="281"/>
      <c r="M402" s="281"/>
      <c r="N402" s="273"/>
      <c r="O402" s="282"/>
    </row>
    <row r="403" spans="1:15" ht="16">
      <c r="A403" s="116" t="str">
        <f>A333</f>
        <v>FEDERAL BANK</v>
      </c>
      <c r="B403" s="145">
        <f>'PROJECT REPORT '!L814*100000</f>
        <v>50000</v>
      </c>
      <c r="D403" s="100"/>
      <c r="E403" s="100"/>
      <c r="F403" s="214"/>
      <c r="G403" s="245" t="s">
        <v>458</v>
      </c>
      <c r="H403" s="245"/>
      <c r="N403" s="121"/>
    </row>
    <row r="404" spans="1:15" ht="16">
      <c r="B404" s="141">
        <f>C404</f>
        <v>50000</v>
      </c>
      <c r="C404" s="123">
        <f>B401+B403</f>
        <v>50000</v>
      </c>
      <c r="D404" s="319" t="s">
        <v>463</v>
      </c>
      <c r="E404" s="245"/>
      <c r="F404" s="245"/>
      <c r="G404" s="245">
        <f>E394</f>
        <v>531392.4</v>
      </c>
      <c r="H404" s="255" t="s">
        <v>495</v>
      </c>
      <c r="I404" s="270"/>
      <c r="J404" s="271">
        <f>(C358+C359)-F362</f>
        <v>652928.64527444402</v>
      </c>
      <c r="K404" s="60" t="s">
        <v>496</v>
      </c>
      <c r="L404" s="60"/>
      <c r="M404" s="279"/>
      <c r="N404" s="272"/>
    </row>
    <row r="405" spans="1:15" ht="16">
      <c r="A405" s="240" t="str">
        <f>A335</f>
        <v>DEFERRED TAX LIABILITIES</v>
      </c>
      <c r="B405" s="141"/>
      <c r="C405" s="123"/>
      <c r="D405" s="214" t="s">
        <v>464</v>
      </c>
      <c r="E405" s="245"/>
      <c r="F405" s="245">
        <f>'PROJECT REPORT '!L666*100000</f>
        <v>276403.70938899741</v>
      </c>
      <c r="G405" s="245"/>
      <c r="H405" s="256" t="s">
        <v>497</v>
      </c>
      <c r="J405" s="290">
        <f>J404/J406</f>
        <v>2.8373763597189692</v>
      </c>
      <c r="K405" t="s">
        <v>498</v>
      </c>
      <c r="N405" s="274"/>
    </row>
    <row r="406" spans="1:15" ht="16">
      <c r="A406" s="240" t="str">
        <f>A336</f>
        <v>OTHER  CURRENT LIABILITIES</v>
      </c>
      <c r="B406" s="133"/>
      <c r="C406" s="121"/>
      <c r="D406" s="214" t="s">
        <v>518</v>
      </c>
      <c r="E406" s="245"/>
      <c r="F406" s="245">
        <f>F338*140/100</f>
        <v>67413.986640000003</v>
      </c>
      <c r="G406" s="245"/>
      <c r="H406" s="259" t="s">
        <v>500</v>
      </c>
      <c r="I406" s="280"/>
      <c r="J406" s="283">
        <f>C358+F362/2</f>
        <v>230117.03859375004</v>
      </c>
      <c r="K406" s="281"/>
      <c r="L406" s="281"/>
      <c r="M406" s="281"/>
      <c r="N406" s="277"/>
    </row>
    <row r="407" spans="1:15" ht="18.5">
      <c r="A407" s="116" t="s">
        <v>459</v>
      </c>
      <c r="B407" s="133"/>
      <c r="C407" s="100">
        <f>F358*0.05/100</f>
        <v>1038.0245021981207</v>
      </c>
      <c r="D407" s="100"/>
      <c r="E407" s="244"/>
      <c r="F407" s="298"/>
      <c r="G407" s="245"/>
      <c r="H407" s="260" t="s">
        <v>502</v>
      </c>
      <c r="I407" s="284"/>
      <c r="J407" s="285">
        <f>J408/J409</f>
        <v>63.192623908687686</v>
      </c>
      <c r="K407" s="279"/>
      <c r="L407" s="279"/>
      <c r="M407" s="279"/>
      <c r="N407" s="272"/>
    </row>
    <row r="408" spans="1:15" ht="18.5">
      <c r="A408" s="257" t="str">
        <f>A338</f>
        <v>SHORT TERM PROVISIONS</v>
      </c>
      <c r="B408" s="133"/>
      <c r="C408" s="100"/>
      <c r="D408" s="100"/>
      <c r="E408" s="244"/>
      <c r="F408" s="298"/>
      <c r="G408" s="245"/>
      <c r="H408" s="262" t="s">
        <v>504</v>
      </c>
      <c r="J408" s="286">
        <f>F401+F402+F405+F406+F407</f>
        <v>1525011.0301405387</v>
      </c>
      <c r="L408" s="273" t="str">
        <f>H408</f>
        <v>Current asset total</v>
      </c>
      <c r="N408" s="274"/>
    </row>
    <row r="409" spans="1:15" ht="18.5">
      <c r="A409" s="19" t="s">
        <v>524</v>
      </c>
      <c r="B409" s="133"/>
      <c r="C409" s="100">
        <f>'PROJECT REPORT '!L779*100000/12</f>
        <v>532.4</v>
      </c>
      <c r="D409" s="100"/>
      <c r="E409" s="244"/>
      <c r="F409" s="298"/>
      <c r="G409" s="245"/>
      <c r="H409" s="263" t="s">
        <v>506</v>
      </c>
      <c r="I409" s="280"/>
      <c r="J409" s="287">
        <f>C407+C409+C410+C411+C412</f>
        <v>24132.737902198125</v>
      </c>
      <c r="K409" s="281"/>
      <c r="L409" s="283" t="str">
        <f>H409</f>
        <v>Current liabilty  total</v>
      </c>
      <c r="M409" s="281"/>
      <c r="N409" s="277"/>
    </row>
    <row r="410" spans="1:15" ht="18.5">
      <c r="A410" s="19" t="s">
        <v>554</v>
      </c>
      <c r="B410" s="133"/>
      <c r="C410" s="100">
        <f>'PROJECT REPORT '!L769*100000/12</f>
        <v>133.1</v>
      </c>
      <c r="D410" s="100"/>
      <c r="E410" s="244"/>
      <c r="F410" s="298"/>
      <c r="G410" s="245"/>
      <c r="H410" s="265" t="s">
        <v>508</v>
      </c>
      <c r="I410" s="270"/>
      <c r="J410" s="285">
        <f>J411/J409</f>
        <v>63.192623908687686</v>
      </c>
      <c r="K410" s="271"/>
      <c r="L410" s="60" t="s">
        <v>509</v>
      </c>
      <c r="M410" s="60"/>
      <c r="N410" s="288">
        <f>J411</f>
        <v>1525011.0301405387</v>
      </c>
    </row>
    <row r="411" spans="1:15" ht="18.5">
      <c r="A411" s="116" t="s">
        <v>538</v>
      </c>
      <c r="B411" s="133"/>
      <c r="C411" s="100">
        <f>('PROJECT REPORT '!L773+'PROJECT REPORT '!L775)*100000/12</f>
        <v>21697.163400000005</v>
      </c>
      <c r="D411" s="100"/>
      <c r="E411" s="244"/>
      <c r="F411" s="298"/>
      <c r="G411" s="245"/>
      <c r="H411" s="266" t="s">
        <v>510</v>
      </c>
      <c r="I411" s="280"/>
      <c r="J411" s="130">
        <f>F405+F406+F401+F402</f>
        <v>1525011.0301405387</v>
      </c>
      <c r="K411" s="273"/>
      <c r="L411" s="283" t="s">
        <v>511</v>
      </c>
      <c r="M411" s="281"/>
      <c r="N411" s="277">
        <f>J409</f>
        <v>24132.737902198125</v>
      </c>
    </row>
    <row r="412" spans="1:15" ht="18.5">
      <c r="A412" s="19" t="s">
        <v>528</v>
      </c>
      <c r="B412" s="133"/>
      <c r="C412" s="100">
        <f>'PROJECT REPORT '!L777*100000/12</f>
        <v>732.05000000000007</v>
      </c>
      <c r="D412" s="100"/>
      <c r="E412" s="244"/>
      <c r="F412" s="298"/>
      <c r="G412" s="245"/>
      <c r="H412" s="255"/>
      <c r="I412" s="270"/>
      <c r="J412" s="289"/>
      <c r="K412" s="271"/>
      <c r="L412" s="279"/>
      <c r="M412" s="279"/>
      <c r="N412" s="272"/>
    </row>
    <row r="413" spans="1:15" ht="15.5" hidden="1">
      <c r="B413" s="133"/>
      <c r="C413" s="121"/>
      <c r="G413" s="245"/>
      <c r="H413" s="256" t="s">
        <v>515</v>
      </c>
      <c r="I413" s="137"/>
      <c r="J413" s="290">
        <f>N413/N414</f>
        <v>1.2046707579046325E-2</v>
      </c>
      <c r="L413" s="281" t="s">
        <v>516</v>
      </c>
      <c r="M413" s="281"/>
      <c r="N413" s="277">
        <f>C407+C409+C410+C411+C412</f>
        <v>24132.737902198125</v>
      </c>
    </row>
    <row r="414" spans="1:15" ht="15.5">
      <c r="A414" s="20" t="s">
        <v>465</v>
      </c>
      <c r="B414" s="253"/>
      <c r="C414" s="317">
        <f>SUM(C393:C413)</f>
        <v>2003264.1901405388</v>
      </c>
      <c r="D414" s="253" t="s">
        <v>466</v>
      </c>
      <c r="E414" s="253"/>
      <c r="F414" s="317">
        <f>SUM(F394:F407)</f>
        <v>2003264.1901405386</v>
      </c>
      <c r="G414" s="245"/>
      <c r="H414" s="259"/>
      <c r="I414" s="280"/>
      <c r="J414" s="130"/>
      <c r="K414" s="273"/>
      <c r="L414" s="273" t="s">
        <v>458</v>
      </c>
      <c r="M414" s="273"/>
      <c r="N414" s="277">
        <f>F414</f>
        <v>2003264.1901405386</v>
      </c>
    </row>
    <row r="415" spans="1:15" ht="15.5">
      <c r="A415" s="178"/>
      <c r="B415" s="190"/>
      <c r="C415" s="190"/>
      <c r="D415" s="191"/>
      <c r="E415" s="191"/>
      <c r="F415" s="191"/>
      <c r="G415" s="245" t="s">
        <v>462</v>
      </c>
      <c r="H415" s="260" t="s">
        <v>520</v>
      </c>
      <c r="I415" s="291"/>
      <c r="J415" s="285">
        <f>J416/J417</f>
        <v>0.14759864410663806</v>
      </c>
      <c r="K415" s="271"/>
      <c r="L415" s="292" t="s">
        <v>521</v>
      </c>
      <c r="M415" s="288"/>
      <c r="N415" s="121"/>
    </row>
    <row r="416" spans="1:15" ht="16">
      <c r="A416" s="184"/>
      <c r="B416" s="188"/>
      <c r="C416" s="221" t="s">
        <v>481</v>
      </c>
      <c r="D416" s="222" t="str">
        <f>D382</f>
        <v xml:space="preserve">M/S.SHAS DESIGN AND PRINTING </v>
      </c>
      <c r="E416" s="170"/>
      <c r="F416" s="170"/>
      <c r="G416" s="253">
        <f>C414-F414</f>
        <v>0</v>
      </c>
      <c r="H416" s="293" t="s">
        <v>521</v>
      </c>
      <c r="J416" s="121">
        <f>C404+C407+C409+C410+C411+C412</f>
        <v>74132.737902198118</v>
      </c>
      <c r="K416" s="121"/>
      <c r="L416" s="121" t="s">
        <v>523</v>
      </c>
      <c r="M416" s="274"/>
      <c r="N416" s="121"/>
    </row>
    <row r="417" spans="1:14" ht="16">
      <c r="A417" s="212" t="str">
        <f>A383</f>
        <v>NILESHWAR</v>
      </c>
      <c r="B417" s="253"/>
      <c r="C417" s="188"/>
      <c r="D417" s="223"/>
      <c r="E417" s="151"/>
      <c r="F417" s="245"/>
      <c r="G417" s="253"/>
      <c r="H417" s="294" t="s">
        <v>523</v>
      </c>
      <c r="I417" s="280"/>
      <c r="J417" s="273">
        <f>F402+F405+F406</f>
        <v>502258.93571649748</v>
      </c>
      <c r="K417" s="273"/>
      <c r="L417" s="273"/>
      <c r="M417" s="277"/>
      <c r="N417" s="121"/>
    </row>
    <row r="418" spans="1:14" ht="16">
      <c r="A418" s="224">
        <f ca="1">A384</f>
        <v>45896</v>
      </c>
      <c r="B418" s="253"/>
      <c r="C418" s="188"/>
      <c r="D418" s="222"/>
      <c r="E418" s="151"/>
      <c r="F418" s="245"/>
      <c r="G418" s="188"/>
      <c r="H418" s="245"/>
      <c r="J418" s="121"/>
      <c r="K418" s="121"/>
      <c r="L418" s="121"/>
      <c r="M418" s="121"/>
      <c r="N418" s="121"/>
    </row>
    <row r="419" spans="1:14" ht="15.5">
      <c r="A419" s="20"/>
      <c r="B419" s="253"/>
      <c r="C419" s="188"/>
      <c r="D419" s="225" t="str">
        <f>D385</f>
        <v>Proprietor</v>
      </c>
      <c r="E419" s="151"/>
      <c r="F419" s="245"/>
      <c r="G419" s="253"/>
      <c r="H419" s="255"/>
      <c r="I419" s="270"/>
      <c r="J419" s="271"/>
      <c r="K419" s="271"/>
      <c r="L419" s="292" t="s">
        <v>527</v>
      </c>
      <c r="M419" s="271"/>
      <c r="N419" s="272"/>
    </row>
    <row r="420" spans="1:14" ht="16">
      <c r="A420" s="20"/>
      <c r="B420" s="253"/>
      <c r="C420" s="188"/>
      <c r="D420" s="192"/>
      <c r="E420" s="151"/>
      <c r="F420" s="245"/>
      <c r="G420" s="214"/>
      <c r="H420" s="256" t="s">
        <v>529</v>
      </c>
      <c r="I420" s="306"/>
      <c r="J420" s="290">
        <f>J397/J442</f>
        <v>1.3832227537251658</v>
      </c>
      <c r="K420" s="121"/>
      <c r="L420" s="121" t="s">
        <v>530</v>
      </c>
      <c r="M420" s="121"/>
      <c r="N420" s="274"/>
    </row>
    <row r="421" spans="1:14" s="152" customFormat="1" ht="16.5">
      <c r="A421" s="320"/>
      <c r="B421" s="321" t="str">
        <f>B388</f>
        <v>Mr.SHAFEEK N N</v>
      </c>
      <c r="C421" s="322" t="str">
        <f>C388</f>
        <v xml:space="preserve">M/S.SHAS DESIGN AND PRINTING </v>
      </c>
      <c r="D421" s="323"/>
      <c r="E421" s="324"/>
      <c r="F421" s="325"/>
      <c r="G421" s="326"/>
      <c r="H421" s="327"/>
      <c r="I421" s="328"/>
      <c r="J421" s="329"/>
      <c r="K421" s="329"/>
      <c r="L421" s="329"/>
      <c r="M421" s="329"/>
      <c r="N421" s="330"/>
    </row>
    <row r="422" spans="1:14" ht="16">
      <c r="A422" s="207"/>
      <c r="B422" s="301" t="str">
        <f>B389</f>
        <v>NEAR POST OFFICE, NILESHWAR</v>
      </c>
      <c r="C422" s="313" t="str">
        <f>C389</f>
        <v>NILESHWAR</v>
      </c>
      <c r="D422" s="230"/>
      <c r="E422" s="210"/>
      <c r="F422" s="210"/>
      <c r="G422" s="214"/>
      <c r="H422" s="256"/>
      <c r="J422" s="121"/>
      <c r="K422" s="121"/>
      <c r="L422" s="121"/>
      <c r="M422" s="121"/>
      <c r="N422" s="274"/>
    </row>
    <row r="423" spans="1:14" ht="16">
      <c r="A423" s="211" t="s">
        <v>546</v>
      </c>
      <c r="B423" s="211"/>
      <c r="C423" s="211"/>
      <c r="D423" s="211"/>
      <c r="E423" s="211"/>
      <c r="F423" s="212"/>
      <c r="G423" s="214"/>
      <c r="H423" s="256"/>
      <c r="J423" s="121"/>
      <c r="K423" s="121"/>
      <c r="L423" s="121"/>
      <c r="M423" s="121"/>
      <c r="N423" s="274"/>
    </row>
    <row r="424" spans="1:14" ht="16">
      <c r="A424" s="212"/>
      <c r="B424" s="212"/>
      <c r="C424" s="212"/>
      <c r="D424" s="212"/>
      <c r="E424" s="212"/>
      <c r="F424" s="212"/>
      <c r="G424" s="214"/>
      <c r="H424" s="256"/>
      <c r="J424" s="121"/>
      <c r="K424" s="121"/>
      <c r="L424" s="121"/>
      <c r="M424" s="121"/>
      <c r="N424" s="274"/>
    </row>
    <row r="425" spans="1:14" ht="16">
      <c r="A425" s="213" t="s">
        <v>548</v>
      </c>
      <c r="B425" s="213"/>
      <c r="C425" s="213" t="s">
        <v>424</v>
      </c>
      <c r="D425" s="213" t="s">
        <v>470</v>
      </c>
      <c r="E425" s="213"/>
      <c r="F425" s="213" t="s">
        <v>424</v>
      </c>
      <c r="G425" s="214"/>
      <c r="H425" s="256"/>
      <c r="J425" s="121"/>
      <c r="K425" s="121"/>
      <c r="L425" s="121"/>
      <c r="M425" s="121"/>
      <c r="N425" s="274"/>
    </row>
    <row r="426" spans="1:14" ht="16">
      <c r="A426" s="212"/>
      <c r="B426" s="212"/>
      <c r="C426" s="214"/>
      <c r="D426" s="214"/>
      <c r="E426" s="214"/>
      <c r="F426" s="214"/>
      <c r="G426" s="214"/>
      <c r="H426" s="256"/>
      <c r="J426" s="121"/>
      <c r="K426" s="121"/>
      <c r="L426" s="121"/>
      <c r="M426" s="121"/>
      <c r="N426" s="274"/>
    </row>
    <row r="427" spans="1:14" ht="16">
      <c r="A427" s="212" t="s">
        <v>425</v>
      </c>
      <c r="B427" s="212"/>
      <c r="C427" s="214">
        <f>F402</f>
        <v>158441.23968750003</v>
      </c>
      <c r="D427" s="214" t="str">
        <f>D358</f>
        <v>By  Sales Revenue ( Less S. Returns)</v>
      </c>
      <c r="E427" s="214"/>
      <c r="F427" s="214">
        <f>'PROJECT REPORT '!N753*100000</f>
        <v>2216906.5016458989</v>
      </c>
      <c r="G427" s="214"/>
      <c r="H427" s="256"/>
      <c r="J427" s="121"/>
      <c r="K427" s="121"/>
      <c r="L427" s="121"/>
      <c r="M427" s="121"/>
      <c r="N427" s="274"/>
    </row>
    <row r="428" spans="1:14" ht="16">
      <c r="A428" s="212" t="str">
        <f>A359</f>
        <v>" Purchases (Including GST)</v>
      </c>
      <c r="B428" s="212"/>
      <c r="C428" s="214">
        <f>'PROJECT REPORT '!N757*100000</f>
        <v>693497.1395225412</v>
      </c>
      <c r="D428" s="214"/>
      <c r="E428" s="214"/>
      <c r="F428" s="214" t="s">
        <v>541</v>
      </c>
      <c r="G428" s="214"/>
      <c r="H428" s="256"/>
      <c r="J428" s="121"/>
      <c r="K428" s="121"/>
      <c r="L428" s="121"/>
      <c r="M428" s="121"/>
      <c r="N428" s="274"/>
    </row>
    <row r="429" spans="1:14" ht="16">
      <c r="A429" s="212"/>
      <c r="B429" s="212"/>
      <c r="C429" s="214"/>
      <c r="D429" s="214"/>
      <c r="E429" s="214"/>
      <c r="F429" s="214"/>
      <c r="G429" s="214"/>
      <c r="H429" s="256"/>
      <c r="J429" s="121"/>
      <c r="K429" s="121"/>
      <c r="L429" s="121"/>
      <c r="M429" s="121"/>
      <c r="N429" s="274"/>
    </row>
    <row r="430" spans="1:14" ht="16">
      <c r="A430" s="212"/>
      <c r="B430" s="212"/>
      <c r="C430" s="214"/>
      <c r="D430" s="214"/>
      <c r="E430" s="214"/>
      <c r="G430" s="214"/>
      <c r="H430" s="256"/>
      <c r="J430" s="121"/>
      <c r="K430" s="121"/>
      <c r="L430" s="121"/>
      <c r="M430" s="121"/>
      <c r="N430" s="274"/>
    </row>
    <row r="431" spans="1:14" ht="16">
      <c r="A431" s="212" t="s">
        <v>429</v>
      </c>
      <c r="B431" s="212"/>
      <c r="C431" s="214">
        <f>F432-C427-C428-C430</f>
        <v>1531331.4241077327</v>
      </c>
      <c r="D431" s="214" t="s">
        <v>475</v>
      </c>
      <c r="E431" s="214"/>
      <c r="F431" s="214">
        <f>C427*105/100</f>
        <v>166363.30167187503</v>
      </c>
      <c r="G431" s="214">
        <f>F431-C427</f>
        <v>7922.0619843750028</v>
      </c>
      <c r="H431" s="256"/>
      <c r="J431" s="121"/>
      <c r="K431" s="121"/>
      <c r="L431" s="121"/>
      <c r="M431" s="121"/>
      <c r="N431" s="274"/>
    </row>
    <row r="432" spans="1:14" ht="16">
      <c r="A432" s="211" t="s">
        <v>430</v>
      </c>
      <c r="B432" s="211"/>
      <c r="C432" s="215">
        <f>SUM(C427:C431)</f>
        <v>2383269.8033177741</v>
      </c>
      <c r="D432" s="216" t="s">
        <v>431</v>
      </c>
      <c r="E432" s="216"/>
      <c r="F432" s="215">
        <f>SUM(F426:F431)</f>
        <v>2383269.8033177741</v>
      </c>
      <c r="G432" s="214"/>
      <c r="H432" s="256"/>
      <c r="J432" s="121"/>
      <c r="K432" s="121"/>
      <c r="L432" s="121"/>
      <c r="M432" s="121"/>
      <c r="N432" s="274"/>
    </row>
    <row r="433" spans="1:14" ht="16">
      <c r="A433" s="212"/>
      <c r="B433" s="212"/>
      <c r="C433" s="214"/>
      <c r="D433" s="214"/>
      <c r="E433" s="214"/>
      <c r="F433" s="214"/>
      <c r="G433" s="214"/>
      <c r="H433" s="256"/>
      <c r="J433" s="121"/>
      <c r="K433" s="121"/>
      <c r="L433" s="121"/>
      <c r="M433" s="121"/>
      <c r="N433" s="274"/>
    </row>
    <row r="434" spans="1:14" ht="16">
      <c r="A434" s="212" t="s">
        <v>433</v>
      </c>
      <c r="B434" s="212"/>
      <c r="C434" s="214">
        <f>'PROJECT REPORT '!N763*100000</f>
        <v>572482.94400000002</v>
      </c>
      <c r="D434" s="212" t="s">
        <v>432</v>
      </c>
      <c r="E434" s="214"/>
      <c r="F434" s="214">
        <f>C431</f>
        <v>1531331.4241077327</v>
      </c>
      <c r="G434" s="214"/>
      <c r="H434" s="256"/>
      <c r="J434" s="121"/>
      <c r="K434" s="121"/>
      <c r="L434" s="121"/>
      <c r="M434" s="121"/>
      <c r="N434" s="274"/>
    </row>
    <row r="435" spans="1:14" ht="16">
      <c r="A435" s="212" t="s">
        <v>434</v>
      </c>
      <c r="B435" s="212"/>
      <c r="C435" s="214">
        <f>'PROJECT REPORT '!N779*100000</f>
        <v>7027.68</v>
      </c>
      <c r="D435" s="212"/>
      <c r="E435" s="214"/>
      <c r="F435" s="214"/>
      <c r="G435" s="214"/>
      <c r="H435" s="256"/>
      <c r="J435" s="121"/>
      <c r="K435" s="121"/>
      <c r="L435" s="121"/>
      <c r="M435" s="121"/>
      <c r="N435" s="274"/>
    </row>
    <row r="436" spans="1:14" ht="16">
      <c r="A436" s="212" t="s">
        <v>435</v>
      </c>
      <c r="B436" s="212"/>
      <c r="C436" s="214">
        <f>'PROJECT REPORT '!N761*100000</f>
        <v>8784.6</v>
      </c>
      <c r="D436" s="212"/>
      <c r="E436" s="214"/>
      <c r="F436" s="214"/>
      <c r="G436" s="214"/>
      <c r="H436" s="256"/>
      <c r="J436" s="121"/>
      <c r="K436" s="121"/>
      <c r="L436" s="121"/>
      <c r="M436" s="121"/>
      <c r="N436" s="274"/>
    </row>
    <row r="437" spans="1:14" ht="16">
      <c r="A437" s="212" t="s">
        <v>436</v>
      </c>
      <c r="B437" s="212"/>
      <c r="C437" s="214">
        <f>'PROJECT REPORT '!N786*100000</f>
        <v>15812.279999999999</v>
      </c>
      <c r="D437" s="212"/>
      <c r="E437" s="214"/>
      <c r="F437" s="214"/>
      <c r="G437" s="214"/>
      <c r="H437" s="256"/>
      <c r="J437" s="121"/>
      <c r="K437" s="121"/>
      <c r="L437" s="121"/>
      <c r="M437" s="121"/>
      <c r="N437" s="274"/>
    </row>
    <row r="438" spans="1:14" ht="16">
      <c r="A438" s="212" t="s">
        <v>437</v>
      </c>
      <c r="B438" s="212"/>
      <c r="C438" s="214">
        <f>'PROJECT REPORT '!N765*100000</f>
        <v>10541.519999999999</v>
      </c>
      <c r="D438" s="212"/>
      <c r="E438" s="214"/>
      <c r="F438" s="214"/>
      <c r="G438" s="214"/>
      <c r="H438" s="256"/>
      <c r="J438" s="121"/>
      <c r="K438" s="121"/>
      <c r="L438" s="121"/>
      <c r="M438" s="121"/>
      <c r="N438" s="274"/>
    </row>
    <row r="439" spans="1:14" ht="16">
      <c r="A439" s="212" t="s">
        <v>476</v>
      </c>
      <c r="B439" s="212"/>
      <c r="C439" s="214">
        <f>'PROJECT REPORT '!N765*100000</f>
        <v>10541.519999999999</v>
      </c>
      <c r="D439" s="212"/>
      <c r="E439" s="214"/>
      <c r="F439" s="214"/>
      <c r="G439" s="214"/>
      <c r="H439" s="256"/>
      <c r="J439" s="121"/>
      <c r="K439" s="121"/>
      <c r="L439" s="121"/>
      <c r="M439" s="121"/>
      <c r="N439" s="274"/>
    </row>
    <row r="440" spans="1:14" ht="16">
      <c r="A440" s="212" t="s">
        <v>440</v>
      </c>
      <c r="B440" s="212"/>
      <c r="C440" s="214">
        <f>'PROJECT REPORT '!N767*100000</f>
        <v>1756.92</v>
      </c>
      <c r="D440" s="212"/>
      <c r="E440" s="214"/>
      <c r="F440" s="214"/>
      <c r="G440" s="214"/>
      <c r="H440" s="256"/>
      <c r="J440" s="121"/>
      <c r="K440" s="121"/>
      <c r="L440" s="121"/>
      <c r="M440" s="121"/>
      <c r="N440" s="274"/>
    </row>
    <row r="441" spans="1:14" ht="16">
      <c r="A441" s="212" t="s">
        <v>477</v>
      </c>
      <c r="B441" s="212"/>
      <c r="C441" s="214">
        <f>'PROJECT REPORT '!N790*100000</f>
        <v>-8075.8125000000018</v>
      </c>
      <c r="D441" s="212"/>
      <c r="E441" s="214"/>
      <c r="F441" s="214"/>
      <c r="G441" s="214"/>
      <c r="H441" s="256"/>
      <c r="J441" s="121"/>
      <c r="K441" s="121"/>
      <c r="L441" s="121"/>
      <c r="M441" s="121"/>
      <c r="N441" s="274"/>
    </row>
    <row r="442" spans="1:14" ht="16">
      <c r="A442" s="212" t="s">
        <v>441</v>
      </c>
      <c r="B442" s="212"/>
      <c r="C442" s="214">
        <f>'PROJECT REPORT '!N771*100000</f>
        <v>17569.2</v>
      </c>
      <c r="D442" s="212"/>
      <c r="E442" s="214"/>
      <c r="F442" s="214"/>
      <c r="G442" s="214"/>
      <c r="H442" s="250" t="s">
        <v>530</v>
      </c>
      <c r="I442" s="280"/>
      <c r="J442" s="130">
        <f>J408-J409</f>
        <v>1500878.2922383405</v>
      </c>
      <c r="K442" s="273"/>
      <c r="L442" s="273" t="s">
        <v>531</v>
      </c>
      <c r="M442" s="273"/>
      <c r="N442" s="277"/>
    </row>
    <row r="443" spans="1:14" ht="15">
      <c r="A443" s="212" t="s">
        <v>442</v>
      </c>
      <c r="B443" s="212"/>
      <c r="C443" s="214">
        <f>'PROJECT REPORT '!N788*100000</f>
        <v>51241.410000000011</v>
      </c>
      <c r="D443" s="212"/>
      <c r="E443" s="214"/>
      <c r="F443" s="214"/>
      <c r="G443" s="214"/>
      <c r="H443" s="214"/>
      <c r="J443" s="121"/>
      <c r="K443" s="121"/>
      <c r="L443" s="121"/>
      <c r="M443" s="121"/>
      <c r="N443" s="121"/>
    </row>
    <row r="444" spans="1:14" ht="15">
      <c r="A444" s="212" t="s">
        <v>443</v>
      </c>
      <c r="B444" s="212"/>
      <c r="C444" s="214">
        <f>'PROJECT REPORT '!N759*100000</f>
        <v>79860.000000000015</v>
      </c>
      <c r="D444" s="212"/>
      <c r="E444" s="214"/>
      <c r="F444" s="214"/>
      <c r="G444" s="214"/>
      <c r="H444" s="214"/>
      <c r="J444" s="121"/>
      <c r="K444" s="121"/>
      <c r="L444" s="121"/>
      <c r="M444" s="121"/>
      <c r="N444" s="121"/>
    </row>
    <row r="445" spans="1:14" ht="15">
      <c r="A445" s="212" t="s">
        <v>478</v>
      </c>
      <c r="B445" s="212"/>
      <c r="C445" s="214">
        <f>'PROJECT REPORT '!N773*100000</f>
        <v>283566.88800000004</v>
      </c>
      <c r="D445" s="212"/>
      <c r="E445" s="214"/>
      <c r="F445" s="214"/>
      <c r="G445" s="214"/>
      <c r="H445" s="214"/>
      <c r="J445" s="121"/>
      <c r="K445" s="121"/>
      <c r="L445" s="121"/>
      <c r="M445" s="121"/>
      <c r="N445" s="121"/>
    </row>
    <row r="446" spans="1:14" ht="15">
      <c r="A446" s="212" t="s">
        <v>479</v>
      </c>
      <c r="B446" s="212"/>
      <c r="C446" s="214">
        <f>'PROJECT REPORT '!N775*100000</f>
        <v>2835.6688800000006</v>
      </c>
      <c r="D446" s="212"/>
      <c r="E446" s="214"/>
      <c r="F446" s="214"/>
      <c r="G446" s="214"/>
      <c r="H446" s="214"/>
      <c r="J446" s="121"/>
      <c r="K446" s="121"/>
      <c r="L446" s="121"/>
      <c r="M446" s="121"/>
      <c r="N446" s="121"/>
    </row>
    <row r="447" spans="1:14" ht="15">
      <c r="A447" s="212" t="s">
        <v>480</v>
      </c>
      <c r="B447" s="212"/>
      <c r="C447" s="214">
        <f>'PROJECT REPORT '!N777*100000</f>
        <v>9663.0600000000013</v>
      </c>
      <c r="D447" s="212"/>
      <c r="E447" s="214"/>
      <c r="F447" s="214"/>
      <c r="G447" s="214">
        <f>'PROJECT REPORT '!N796*100000</f>
        <v>458586.08374335803</v>
      </c>
      <c r="H447" s="214"/>
      <c r="J447" s="121"/>
      <c r="K447" s="121"/>
      <c r="L447" s="121"/>
      <c r="M447" s="121"/>
      <c r="N447" s="121"/>
    </row>
    <row r="448" spans="1:14" ht="15">
      <c r="A448" s="212" t="s">
        <v>444</v>
      </c>
      <c r="B448" s="212"/>
      <c r="C448" s="214">
        <f>F449-C434-C435-C436-C437-C438-C439-C440-C441-C442-C443-C444-C445-C446-C447</f>
        <v>467723.54572773253</v>
      </c>
      <c r="D448" s="212"/>
      <c r="E448" s="214"/>
      <c r="F448" s="214"/>
      <c r="G448" s="214"/>
      <c r="H448" s="214"/>
      <c r="J448" s="121"/>
      <c r="K448" s="121"/>
      <c r="L448" s="121"/>
      <c r="M448" s="121"/>
      <c r="N448" s="121"/>
    </row>
    <row r="449" spans="1:7" ht="15">
      <c r="A449" s="211" t="s">
        <v>445</v>
      </c>
      <c r="B449" s="211"/>
      <c r="C449" s="218">
        <f>SUM(C434:C448)</f>
        <v>1531331.4241077329</v>
      </c>
      <c r="D449" s="216" t="s">
        <v>446</v>
      </c>
      <c r="E449" s="216"/>
      <c r="F449" s="218">
        <f>SUM(F434:F448)</f>
        <v>1531331.4241077327</v>
      </c>
      <c r="G449" s="214"/>
    </row>
    <row r="450" spans="1:7" ht="15">
      <c r="A450" s="219"/>
      <c r="B450" s="219"/>
      <c r="C450" s="220"/>
      <c r="D450" s="220"/>
      <c r="E450" s="220"/>
      <c r="F450" s="220"/>
      <c r="G450" s="214"/>
    </row>
    <row r="451" spans="1:7" ht="15">
      <c r="A451" s="212"/>
      <c r="B451" s="212"/>
      <c r="C451" s="214"/>
      <c r="D451" s="303" t="str">
        <f>D416</f>
        <v xml:space="preserve">M/S.SHAS DESIGN AND PRINTING </v>
      </c>
      <c r="E451" s="214"/>
      <c r="F451" s="214"/>
      <c r="G451" s="214"/>
    </row>
    <row r="452" spans="1:7" ht="15.5">
      <c r="A452" s="212">
        <f ca="1">A418</f>
        <v>45896</v>
      </c>
      <c r="B452" s="212"/>
      <c r="C452" s="214"/>
      <c r="D452" s="223"/>
      <c r="F452" s="214"/>
      <c r="G452" s="214"/>
    </row>
    <row r="453" spans="1:7" ht="16">
      <c r="A453" s="224">
        <f>A419</f>
        <v>0</v>
      </c>
      <c r="B453" s="212"/>
      <c r="C453" s="214"/>
      <c r="D453" s="303"/>
      <c r="E453" s="214"/>
      <c r="F453" s="214"/>
      <c r="G453" s="100"/>
    </row>
    <row r="454" spans="1:7" ht="15.5">
      <c r="C454" s="121"/>
      <c r="D454" s="225" t="s">
        <v>447</v>
      </c>
      <c r="G454" s="100"/>
    </row>
    <row r="455" spans="1:7" ht="15.5">
      <c r="C455" s="121"/>
      <c r="D455" s="192"/>
      <c r="G455" s="100"/>
    </row>
    <row r="456" spans="1:7" ht="16.5">
      <c r="B456" s="122" t="str">
        <f>B421</f>
        <v>Mr.SHAFEEK N N</v>
      </c>
      <c r="C456" s="226" t="str">
        <f>C421</f>
        <v xml:space="preserve">M/S.SHAS DESIGN AND PRINTING </v>
      </c>
      <c r="D456" s="100"/>
      <c r="E456" s="100"/>
      <c r="G456" s="100"/>
    </row>
    <row r="457" spans="1:7" ht="16">
      <c r="A457" s="207"/>
      <c r="B457" s="229" t="str">
        <f>B422</f>
        <v>NEAR POST OFFICE, NILESHWAR</v>
      </c>
      <c r="C457" s="313" t="str">
        <f>C422</f>
        <v>NILESHWAR</v>
      </c>
      <c r="D457" s="230"/>
      <c r="E457" s="230"/>
      <c r="F457" s="230"/>
      <c r="G457" s="234"/>
    </row>
    <row r="458" spans="1:7" ht="15">
      <c r="A458" s="232" t="s">
        <v>550</v>
      </c>
      <c r="B458" s="232"/>
      <c r="C458" s="233"/>
      <c r="D458" s="233"/>
      <c r="E458" s="233"/>
      <c r="F458" s="234"/>
      <c r="G458" s="242"/>
    </row>
    <row r="459" spans="1:7" ht="15">
      <c r="A459" s="236" t="s">
        <v>449</v>
      </c>
      <c r="B459" s="236" t="s">
        <v>73</v>
      </c>
      <c r="C459" s="237" t="s">
        <v>73</v>
      </c>
      <c r="D459" s="237" t="s">
        <v>450</v>
      </c>
      <c r="E459" s="237" t="s">
        <v>73</v>
      </c>
      <c r="F459" s="237" t="s">
        <v>73</v>
      </c>
      <c r="G459" s="121"/>
    </row>
    <row r="460" spans="1:7" ht="15.5">
      <c r="A460" s="240" t="str">
        <f>A392</f>
        <v>NON CURRENT LIABILITIES</v>
      </c>
      <c r="C460" s="121"/>
      <c r="D460" s="243" t="s">
        <v>451</v>
      </c>
      <c r="E460" s="121"/>
      <c r="F460" s="121"/>
      <c r="G460" s="121"/>
    </row>
    <row r="461" spans="1:7" ht="16">
      <c r="A461" s="247" t="s">
        <v>452</v>
      </c>
      <c r="B461" s="214">
        <f>C397</f>
        <v>1929131.4522383406</v>
      </c>
      <c r="C461" s="214"/>
      <c r="D461" s="243" t="str">
        <f>D393</f>
        <v>Tangible Asset  (Machinary &amp; Tools )</v>
      </c>
      <c r="E461" s="121"/>
      <c r="F461" s="121"/>
      <c r="G461" s="245"/>
    </row>
    <row r="462" spans="1:7" ht="16">
      <c r="A462" s="116" t="s">
        <v>453</v>
      </c>
      <c r="B462" s="250">
        <f>C448</f>
        <v>467723.54572773253</v>
      </c>
      <c r="C462" s="214"/>
      <c r="D462" s="19" t="str">
        <f>D394</f>
        <v>MACHINERY &amp; FITTINGS</v>
      </c>
      <c r="E462" s="201">
        <f>F395</f>
        <v>478253.16000000003</v>
      </c>
      <c r="F462" s="245"/>
      <c r="G462" s="245"/>
    </row>
    <row r="463" spans="1:7" ht="19">
      <c r="A463" s="116"/>
      <c r="B463" s="214">
        <f>SUM(B461:B462)</f>
        <v>2396854.997966073</v>
      </c>
      <c r="C463" s="214"/>
      <c r="D463" s="121" t="s">
        <v>454</v>
      </c>
      <c r="E463" s="244">
        <f>E462*10/100</f>
        <v>47825.316000000006</v>
      </c>
      <c r="F463" s="245">
        <f>E462-E463</f>
        <v>430427.84400000004</v>
      </c>
      <c r="G463" s="245"/>
    </row>
    <row r="464" spans="1:7" ht="20.5">
      <c r="A464" s="116" t="s">
        <v>455</v>
      </c>
      <c r="B464" s="254">
        <f>'PROJECT REPORT '!L730*100000</f>
        <v>0</v>
      </c>
      <c r="D464" s="258"/>
      <c r="E464" s="245"/>
      <c r="F464" s="245"/>
      <c r="G464" s="245"/>
    </row>
    <row r="465" spans="1:7" ht="19">
      <c r="A465" s="116"/>
      <c r="B465" s="214">
        <f>C465</f>
        <v>2396854.997966073</v>
      </c>
      <c r="C465" s="216">
        <f>B463-B464</f>
        <v>2396854.997966073</v>
      </c>
      <c r="D465" s="100"/>
      <c r="E465" s="244"/>
      <c r="F465" s="245"/>
    </row>
    <row r="466" spans="1:7" ht="16">
      <c r="A466" s="257" t="str">
        <f>A398</f>
        <v>LONG TERM CURRENT LIABILITIES</v>
      </c>
      <c r="B466" s="214"/>
      <c r="C466" s="216"/>
      <c r="D466" s="123"/>
      <c r="E466" s="201"/>
      <c r="F466" s="245"/>
    </row>
    <row r="467" spans="1:7" ht="19">
      <c r="A467" s="247" t="s">
        <v>501</v>
      </c>
      <c r="B467" s="214"/>
      <c r="C467" s="214"/>
      <c r="D467" s="100"/>
      <c r="E467" s="244"/>
      <c r="F467" s="245"/>
    </row>
    <row r="468" spans="1:7" ht="19">
      <c r="A468" s="261" t="str">
        <f>A400</f>
        <v>TERM LOAN</v>
      </c>
      <c r="B468" s="214"/>
      <c r="C468" s="214"/>
      <c r="D468" s="129" t="str">
        <f>D402</f>
        <v>CLOSING STOCK</v>
      </c>
      <c r="E468" s="244"/>
      <c r="F468" s="245"/>
    </row>
    <row r="469" spans="1:7" ht="19">
      <c r="A469" s="116" t="str">
        <f>A401</f>
        <v>FEDERAL BANK</v>
      </c>
      <c r="B469" s="214">
        <v>0</v>
      </c>
      <c r="C469" s="214"/>
      <c r="D469" s="245" t="s">
        <v>461</v>
      </c>
      <c r="E469" s="244"/>
      <c r="F469" s="214">
        <f>C482-F463-F465-F467-F470-F473-F474-F475</f>
        <v>1801172.3055450211</v>
      </c>
    </row>
    <row r="470" spans="1:7" ht="16">
      <c r="A470" s="261" t="str">
        <f>A402</f>
        <v>CASH CREDIT</v>
      </c>
      <c r="B470" s="214"/>
      <c r="C470" s="214"/>
      <c r="D470" s="100" t="s">
        <v>460</v>
      </c>
      <c r="E470" s="100"/>
      <c r="F470" s="214">
        <f>F431</f>
        <v>166363.30167187503</v>
      </c>
    </row>
    <row r="471" spans="1:7" ht="16">
      <c r="A471" s="116" t="str">
        <f>A403</f>
        <v>FEDERAL BANK</v>
      </c>
      <c r="B471" s="145">
        <f>'PROJECT REPORT '!L882*100000</f>
        <v>0</v>
      </c>
      <c r="D471" s="100"/>
      <c r="E471" s="100"/>
      <c r="F471" s="214"/>
    </row>
    <row r="472" spans="1:7" ht="16">
      <c r="B472" s="141">
        <f>C472</f>
        <v>0</v>
      </c>
      <c r="C472" s="123">
        <f>B469+B471</f>
        <v>0</v>
      </c>
      <c r="D472" s="319" t="s">
        <v>463</v>
      </c>
      <c r="E472" s="245"/>
      <c r="F472" s="245"/>
    </row>
    <row r="473" spans="1:7" ht="16">
      <c r="A473" s="240" t="str">
        <f>A405</f>
        <v>DEFERRED TAX LIABILITIES</v>
      </c>
      <c r="B473" s="141"/>
      <c r="C473" s="123"/>
      <c r="D473" s="214" t="s">
        <v>464</v>
      </c>
      <c r="E473" s="245"/>
      <c r="F473" s="245">
        <f>'PROJECT REPORT '!L734*100000</f>
        <v>0</v>
      </c>
    </row>
    <row r="474" spans="1:7" ht="16">
      <c r="A474" s="240" t="str">
        <f>A406</f>
        <v>OTHER  CURRENT LIABILITIES</v>
      </c>
      <c r="B474" s="133"/>
      <c r="C474" s="121"/>
      <c r="D474" s="214" t="s">
        <v>518</v>
      </c>
      <c r="E474" s="245"/>
      <c r="F474" s="245">
        <f>F408*140/100</f>
        <v>0</v>
      </c>
    </row>
    <row r="475" spans="1:7" ht="18.5">
      <c r="A475" s="116" t="s">
        <v>459</v>
      </c>
      <c r="B475" s="133"/>
      <c r="C475" s="100">
        <f>F427*0.05/100</f>
        <v>1108.4532508229495</v>
      </c>
      <c r="D475" s="100"/>
      <c r="E475" s="244"/>
      <c r="F475" s="298"/>
    </row>
    <row r="476" spans="1:7" ht="18.5">
      <c r="A476" s="257" t="str">
        <f>A408</f>
        <v>SHORT TERM PROVISIONS</v>
      </c>
      <c r="B476" s="133"/>
      <c r="C476" s="100"/>
      <c r="D476" s="100"/>
      <c r="E476" s="244"/>
      <c r="F476" s="298"/>
    </row>
    <row r="477" spans="1:7" ht="18.5">
      <c r="A477" s="19" t="s">
        <v>524</v>
      </c>
      <c r="B477" s="133"/>
      <c r="C477" s="100">
        <f>'PROJECT REPORT '!L847*100000/12</f>
        <v>0</v>
      </c>
      <c r="D477" s="100"/>
      <c r="E477" s="244"/>
      <c r="F477" s="298"/>
      <c r="G477" s="253"/>
    </row>
    <row r="478" spans="1:7" ht="18.5">
      <c r="A478" s="19" t="s">
        <v>554</v>
      </c>
      <c r="B478" s="133"/>
      <c r="C478" s="100">
        <f>'PROJECT REPORT '!L837*100000/12</f>
        <v>0</v>
      </c>
      <c r="D478" s="100"/>
      <c r="E478" s="244"/>
      <c r="F478" s="298"/>
      <c r="G478" s="253"/>
    </row>
    <row r="479" spans="1:7" ht="18.5">
      <c r="A479" s="116" t="s">
        <v>538</v>
      </c>
      <c r="B479" s="133"/>
      <c r="C479" s="100">
        <f>('PROJECT REPORT '!L841+'PROJECT REPORT '!L843)*100000/12</f>
        <v>0</v>
      </c>
      <c r="D479" s="100"/>
      <c r="E479" s="244"/>
      <c r="F479" s="298"/>
      <c r="G479" s="253"/>
    </row>
    <row r="480" spans="1:7" ht="18.5">
      <c r="A480" s="19" t="s">
        <v>528</v>
      </c>
      <c r="B480" s="133"/>
      <c r="C480" s="100">
        <f>'PROJECT REPORT '!L845*100000/12</f>
        <v>0</v>
      </c>
      <c r="D480" s="100"/>
      <c r="E480" s="244"/>
      <c r="F480" s="298"/>
    </row>
    <row r="481" spans="1:6">
      <c r="B481" s="133"/>
      <c r="C481" s="121"/>
    </row>
    <row r="482" spans="1:6" ht="15.5">
      <c r="A482" s="20" t="s">
        <v>465</v>
      </c>
      <c r="B482" s="253"/>
      <c r="C482" s="317">
        <f>SUM(C461:C481)</f>
        <v>2397963.4512168961</v>
      </c>
      <c r="D482" s="253" t="s">
        <v>466</v>
      </c>
      <c r="E482" s="253"/>
      <c r="F482" s="317">
        <f>SUM(F462:F475)</f>
        <v>2397963.4512168965</v>
      </c>
    </row>
    <row r="483" spans="1:6" ht="15.5">
      <c r="A483" s="178"/>
      <c r="B483" s="190"/>
      <c r="C483" s="190"/>
      <c r="D483" s="191"/>
      <c r="E483" s="191"/>
      <c r="F483" s="191"/>
    </row>
    <row r="484" spans="1:6" ht="15.5">
      <c r="A484" s="184"/>
      <c r="B484" s="188"/>
      <c r="C484" s="188"/>
      <c r="D484" s="222" t="str">
        <f>D451</f>
        <v xml:space="preserve">M/S.SHAS DESIGN AND PRINTING </v>
      </c>
      <c r="E484" s="170"/>
      <c r="F484" s="170"/>
    </row>
    <row r="485" spans="1:6" ht="16">
      <c r="A485" s="212">
        <f ca="1">A452</f>
        <v>45896</v>
      </c>
      <c r="B485" s="253"/>
      <c r="C485" s="188"/>
      <c r="D485" s="223"/>
      <c r="E485" s="151"/>
      <c r="F485" s="245"/>
    </row>
    <row r="486" spans="1:6" ht="16">
      <c r="A486" s="224">
        <f>A453</f>
        <v>0</v>
      </c>
      <c r="B486" s="253"/>
      <c r="C486" s="188"/>
      <c r="D486" s="222"/>
      <c r="E486" s="151"/>
      <c r="F486" s="245"/>
    </row>
    <row r="487" spans="1:6" ht="15.5" hidden="1">
      <c r="A487" s="20"/>
      <c r="B487" s="253"/>
      <c r="C487" s="188"/>
      <c r="D487" s="225" t="str">
        <f>D454</f>
        <v>Proprietor</v>
      </c>
      <c r="E487" s="151"/>
      <c r="F487" s="245"/>
    </row>
    <row r="488" spans="1:6" ht="15.5" hidden="1">
      <c r="A488" s="20"/>
      <c r="B488" s="253"/>
      <c r="C488" s="188"/>
      <c r="D488" s="192"/>
      <c r="E488" s="151"/>
      <c r="F488" s="245"/>
    </row>
    <row r="489" spans="1:6" ht="15.5" hidden="1">
      <c r="A489" s="19"/>
      <c r="B489" s="1"/>
      <c r="C489" s="141"/>
      <c r="D489" s="141"/>
      <c r="F489" s="1"/>
    </row>
    <row r="490" spans="1:6" ht="15.5" hidden="1">
      <c r="A490" s="19"/>
      <c r="B490" s="137"/>
      <c r="C490" s="137"/>
      <c r="D490" s="137"/>
      <c r="F490" s="1"/>
    </row>
    <row r="491" spans="1:6" ht="15.5" hidden="1">
      <c r="A491" s="19"/>
      <c r="B491" s="137"/>
      <c r="C491" s="137"/>
      <c r="D491" s="1"/>
      <c r="F491" s="1"/>
    </row>
    <row r="492" spans="1:6" ht="15.5">
      <c r="A492" s="19"/>
      <c r="B492" s="137"/>
      <c r="C492" s="137"/>
      <c r="D492" s="1"/>
      <c r="F492" s="1"/>
    </row>
    <row r="493" spans="1:6" ht="15.5">
      <c r="A493" s="19"/>
      <c r="B493" s="137"/>
      <c r="C493" s="137"/>
      <c r="D493" s="1"/>
      <c r="F493" s="1"/>
    </row>
    <row r="494" spans="1:6" ht="16.5">
      <c r="A494" s="318" t="s">
        <v>555</v>
      </c>
      <c r="B494" s="299">
        <f>B461</f>
        <v>1929131.4522383406</v>
      </c>
      <c r="C494" s="226">
        <f>C461</f>
        <v>0</v>
      </c>
      <c r="D494" s="192"/>
      <c r="E494" s="151"/>
      <c r="F494" s="245"/>
    </row>
    <row r="495" spans="1:6" ht="16">
      <c r="A495" s="207"/>
      <c r="B495" s="301">
        <f>B462</f>
        <v>467723.54572773253</v>
      </c>
      <c r="C495" s="313">
        <f>C462</f>
        <v>0</v>
      </c>
      <c r="D495" s="230"/>
      <c r="E495" s="210"/>
      <c r="F495" s="210"/>
    </row>
    <row r="496" spans="1:6" ht="15">
      <c r="A496" s="211" t="s">
        <v>551</v>
      </c>
      <c r="B496" s="211"/>
      <c r="C496" s="211"/>
      <c r="D496" s="211"/>
      <c r="E496" s="211"/>
      <c r="F496" s="212"/>
    </row>
    <row r="497" spans="1:6" ht="15">
      <c r="A497" s="212"/>
      <c r="B497" s="212"/>
      <c r="C497" s="212"/>
      <c r="D497" s="212"/>
      <c r="E497" s="212"/>
      <c r="F497" s="212"/>
    </row>
    <row r="498" spans="1:6" ht="15">
      <c r="A498" s="213" t="s">
        <v>548</v>
      </c>
      <c r="B498" s="213"/>
      <c r="C498" s="213" t="s">
        <v>424</v>
      </c>
      <c r="D498" s="213" t="s">
        <v>470</v>
      </c>
      <c r="E498" s="213"/>
      <c r="F498" s="213" t="s">
        <v>424</v>
      </c>
    </row>
    <row r="499" spans="1:6" ht="15">
      <c r="A499" s="212"/>
      <c r="B499" s="212"/>
      <c r="C499" s="214"/>
      <c r="D499" s="214"/>
      <c r="E499" s="214"/>
      <c r="F499" s="214"/>
    </row>
    <row r="500" spans="1:6" ht="15">
      <c r="A500" s="212" t="s">
        <v>425</v>
      </c>
      <c r="B500" s="212"/>
      <c r="C500" s="214">
        <f>F477</f>
        <v>0</v>
      </c>
      <c r="D500" s="214" t="str">
        <f>D432</f>
        <v>TOTAL</v>
      </c>
      <c r="E500" s="214"/>
      <c r="F500" s="214">
        <f>'PROJECT REPORT '!L894*100000-'PROJECT REPORT '!L790*100000-G510</f>
        <v>-5250.0000000000045</v>
      </c>
    </row>
    <row r="501" spans="1:6" ht="15">
      <c r="A501" s="212">
        <f>A433</f>
        <v>0</v>
      </c>
      <c r="B501" s="212"/>
      <c r="C501" s="214">
        <f>'PROJECT REPORT '!L898*100000</f>
        <v>0</v>
      </c>
      <c r="D501" s="214"/>
      <c r="E501" s="214"/>
      <c r="F501" s="214" t="s">
        <v>541</v>
      </c>
    </row>
    <row r="502" spans="1:6" ht="15">
      <c r="A502" s="212"/>
      <c r="B502" s="212"/>
      <c r="C502" s="214"/>
      <c r="D502" s="214"/>
      <c r="E502" s="214"/>
      <c r="F502" s="214"/>
    </row>
    <row r="503" spans="1:6" ht="15">
      <c r="A503" s="212"/>
      <c r="B503" s="212"/>
      <c r="C503" s="214"/>
      <c r="D503" s="214"/>
      <c r="E503" s="214"/>
    </row>
    <row r="504" spans="1:6" ht="15">
      <c r="A504" s="212" t="s">
        <v>429</v>
      </c>
      <c r="B504" s="212"/>
      <c r="C504" s="214">
        <f>F505-C500-C501-C503</f>
        <v>-5250.0000000000045</v>
      </c>
      <c r="D504" s="214" t="s">
        <v>475</v>
      </c>
      <c r="E504" s="214"/>
      <c r="F504" s="214">
        <f>C500*105/100</f>
        <v>0</v>
      </c>
    </row>
    <row r="505" spans="1:6" ht="15">
      <c r="A505" s="211" t="s">
        <v>430</v>
      </c>
      <c r="B505" s="211"/>
      <c r="C505" s="215">
        <f>SUM(C500:C504)</f>
        <v>-5250.0000000000045</v>
      </c>
      <c r="D505" s="216" t="s">
        <v>431</v>
      </c>
      <c r="E505" s="216"/>
      <c r="F505" s="215">
        <f>SUM(F499:F504)</f>
        <v>-5250.0000000000045</v>
      </c>
    </row>
    <row r="506" spans="1:6" ht="15">
      <c r="A506" s="212"/>
      <c r="B506" s="212"/>
      <c r="C506" s="214"/>
      <c r="D506" s="214"/>
      <c r="E506" s="214"/>
      <c r="F506" s="214"/>
    </row>
    <row r="507" spans="1:6" ht="15">
      <c r="A507" s="212" t="s">
        <v>433</v>
      </c>
      <c r="B507" s="212"/>
      <c r="C507" s="214">
        <f>'PROJECT REPORT '!L904*100000</f>
        <v>0</v>
      </c>
      <c r="D507" s="212" t="s">
        <v>432</v>
      </c>
      <c r="E507" s="214"/>
      <c r="F507" s="214">
        <f>C504</f>
        <v>-5250.0000000000045</v>
      </c>
    </row>
    <row r="508" spans="1:6" ht="15">
      <c r="A508" s="212" t="s">
        <v>434</v>
      </c>
      <c r="B508" s="212"/>
      <c r="C508" s="214">
        <f>'PROJECT REPORT '!L920*100000</f>
        <v>0</v>
      </c>
      <c r="D508" s="212"/>
      <c r="E508" s="214"/>
      <c r="F508" s="214"/>
    </row>
    <row r="509" spans="1:6" ht="15">
      <c r="A509" s="212" t="s">
        <v>435</v>
      </c>
      <c r="B509" s="212"/>
      <c r="C509" s="214">
        <f>'PROJECT REPORT '!L902*100000</f>
        <v>0</v>
      </c>
      <c r="D509" s="212"/>
      <c r="E509" s="214"/>
      <c r="F509" s="214"/>
    </row>
    <row r="510" spans="1:6" ht="15">
      <c r="A510" s="212" t="s">
        <v>436</v>
      </c>
      <c r="B510" s="212"/>
      <c r="C510" s="214">
        <f>'PROJECT REPORT '!L927*100000</f>
        <v>0</v>
      </c>
      <c r="D510" s="212"/>
      <c r="E510" s="214"/>
      <c r="F510" s="214"/>
    </row>
    <row r="511" spans="1:6" ht="15">
      <c r="A511" s="212" t="s">
        <v>437</v>
      </c>
      <c r="B511" s="212"/>
      <c r="C511" s="214">
        <f>'PROJECT REPORT '!L910*100000</f>
        <v>0</v>
      </c>
      <c r="D511" s="212"/>
      <c r="E511" s="214"/>
      <c r="F511" s="214"/>
    </row>
    <row r="512" spans="1:6" ht="15">
      <c r="A512" s="212" t="s">
        <v>476</v>
      </c>
      <c r="B512" s="212"/>
      <c r="C512" s="214">
        <f>'PROJECT REPORT '!L906*100000</f>
        <v>0</v>
      </c>
      <c r="D512" s="212"/>
      <c r="E512" s="214"/>
      <c r="F512" s="214"/>
    </row>
    <row r="513" spans="1:6" ht="15">
      <c r="A513" s="212" t="s">
        <v>440</v>
      </c>
      <c r="B513" s="212"/>
      <c r="C513" s="214">
        <f>'PROJECT REPORT '!L908*100000</f>
        <v>0</v>
      </c>
      <c r="D513" s="212"/>
      <c r="E513" s="214"/>
      <c r="F513" s="214"/>
    </row>
    <row r="514" spans="1:6" ht="15">
      <c r="A514" s="212" t="s">
        <v>477</v>
      </c>
      <c r="B514" s="212"/>
      <c r="C514" s="214">
        <f>'PROJECT REPORT '!L931*100000</f>
        <v>0</v>
      </c>
      <c r="D514" s="212"/>
      <c r="E514" s="214"/>
      <c r="F514" s="214"/>
    </row>
    <row r="515" spans="1:6" ht="15">
      <c r="A515" s="212" t="s">
        <v>441</v>
      </c>
      <c r="B515" s="212"/>
      <c r="C515" s="214">
        <f>'PROJECT REPORT '!L912*100000</f>
        <v>0</v>
      </c>
      <c r="D515" s="212"/>
      <c r="E515" s="214"/>
      <c r="F515" s="214"/>
    </row>
    <row r="516" spans="1:6" ht="15">
      <c r="A516" s="212" t="s">
        <v>442</v>
      </c>
      <c r="B516" s="212"/>
      <c r="C516" s="214">
        <f>G542</f>
        <v>0</v>
      </c>
      <c r="D516" s="212"/>
      <c r="E516" s="214"/>
      <c r="F516" s="214"/>
    </row>
    <row r="517" spans="1:6" ht="15">
      <c r="A517" s="212" t="s">
        <v>443</v>
      </c>
      <c r="B517" s="212"/>
      <c r="C517" s="214">
        <f>'PROJECT REPORT '!L900*100000</f>
        <v>0</v>
      </c>
      <c r="D517" s="212"/>
      <c r="E517" s="214"/>
      <c r="F517" s="214"/>
    </row>
    <row r="518" spans="1:6" ht="15">
      <c r="A518" s="212" t="s">
        <v>478</v>
      </c>
      <c r="B518" s="212"/>
      <c r="C518" s="214">
        <f>'PROJECT REPORT '!L914*100000</f>
        <v>0</v>
      </c>
      <c r="D518" s="212"/>
      <c r="E518" s="214"/>
      <c r="F518" s="214"/>
    </row>
    <row r="519" spans="1:6" ht="15">
      <c r="A519" s="212" t="s">
        <v>479</v>
      </c>
      <c r="B519" s="212"/>
      <c r="C519" s="214">
        <f>'PROJECT REPORT '!L916*100000</f>
        <v>0</v>
      </c>
      <c r="D519" s="212"/>
      <c r="E519" s="214"/>
      <c r="F519" s="214"/>
    </row>
    <row r="520" spans="1:6" ht="15">
      <c r="A520" s="212" t="s">
        <v>480</v>
      </c>
      <c r="B520" s="212"/>
      <c r="C520" s="214">
        <f>'PROJECT REPORT '!L918*100000</f>
        <v>0</v>
      </c>
      <c r="D520" s="212"/>
      <c r="E520" s="214"/>
      <c r="F520" s="214"/>
    </row>
    <row r="521" spans="1:6" ht="15">
      <c r="A521" s="212" t="s">
        <v>444</v>
      </c>
      <c r="B521" s="212"/>
      <c r="C521" s="214">
        <f>F522-C507-C508-C509-C510-C511-C512-C513-C514-C515-C516-C517-C518-C519-C520</f>
        <v>-5250.0000000000045</v>
      </c>
      <c r="D521" s="212"/>
      <c r="E521" s="214"/>
      <c r="F521" s="214"/>
    </row>
    <row r="522" spans="1:6" ht="15">
      <c r="A522" s="211" t="s">
        <v>445</v>
      </c>
      <c r="B522" s="211"/>
      <c r="C522" s="218">
        <f>SUM(C507:C521)</f>
        <v>-5250.0000000000045</v>
      </c>
      <c r="D522" s="216" t="s">
        <v>446</v>
      </c>
      <c r="E522" s="216"/>
      <c r="F522" s="218">
        <f>SUM(F507:F521)</f>
        <v>-5250.0000000000045</v>
      </c>
    </row>
    <row r="523" spans="1:6" ht="15">
      <c r="A523" s="219"/>
      <c r="B523" s="219"/>
      <c r="C523" s="220"/>
      <c r="D523" s="220"/>
      <c r="E523" s="220"/>
      <c r="F523" s="220"/>
    </row>
    <row r="524" spans="1:6" ht="15">
      <c r="A524" s="212"/>
      <c r="B524" s="212"/>
      <c r="C524" s="214"/>
      <c r="D524" s="303">
        <f>D489</f>
        <v>0</v>
      </c>
      <c r="E524" s="214"/>
      <c r="F524" s="214"/>
    </row>
    <row r="525" spans="1:6" ht="15.5">
      <c r="A525" s="212">
        <f>A491</f>
        <v>0</v>
      </c>
      <c r="B525" s="212"/>
      <c r="C525" s="214"/>
      <c r="D525" s="223"/>
      <c r="F525" s="214"/>
    </row>
    <row r="526" spans="1:6" ht="15">
      <c r="A526" s="224">
        <f>A492</f>
        <v>0</v>
      </c>
      <c r="B526" s="212"/>
      <c r="C526" s="214"/>
      <c r="D526" s="303"/>
      <c r="E526" s="214"/>
      <c r="F526" s="214"/>
    </row>
    <row r="527" spans="1:6" ht="15.5">
      <c r="C527" s="121"/>
      <c r="D527" s="225" t="s">
        <v>447</v>
      </c>
    </row>
    <row r="528" spans="1:6" ht="15.5">
      <c r="C528" s="121"/>
      <c r="D528" s="192"/>
    </row>
    <row r="529" spans="1:7" ht="16.5">
      <c r="B529" s="122">
        <f>B494</f>
        <v>1929131.4522383406</v>
      </c>
      <c r="C529" s="226">
        <f>C494</f>
        <v>0</v>
      </c>
      <c r="D529" s="100"/>
      <c r="E529" s="100"/>
    </row>
    <row r="530" spans="1:7" ht="16">
      <c r="A530" s="207"/>
      <c r="B530" s="229">
        <f>B495</f>
        <v>467723.54572773253</v>
      </c>
      <c r="C530" s="313">
        <f>C495</f>
        <v>0</v>
      </c>
      <c r="D530" s="230"/>
      <c r="E530" s="230"/>
      <c r="F530" s="230"/>
    </row>
    <row r="531" spans="1:7" ht="15">
      <c r="A531" s="232" t="s">
        <v>553</v>
      </c>
      <c r="B531" s="232"/>
      <c r="C531" s="233"/>
      <c r="D531" s="233"/>
      <c r="E531" s="233"/>
      <c r="F531" s="234"/>
    </row>
    <row r="532" spans="1:7" ht="15">
      <c r="A532" s="236" t="s">
        <v>449</v>
      </c>
      <c r="B532" s="236" t="s">
        <v>73</v>
      </c>
      <c r="C532" s="237" t="s">
        <v>73</v>
      </c>
      <c r="D532" s="237" t="s">
        <v>450</v>
      </c>
      <c r="E532" s="237" t="s">
        <v>73</v>
      </c>
      <c r="F532" s="237" t="s">
        <v>73</v>
      </c>
      <c r="G532" s="1"/>
    </row>
    <row r="533" spans="1:7" ht="15.5">
      <c r="A533" s="240">
        <f>A465</f>
        <v>0</v>
      </c>
      <c r="C533" s="121"/>
      <c r="D533" s="243" t="s">
        <v>451</v>
      </c>
      <c r="E533" s="121"/>
      <c r="F533" s="121"/>
      <c r="G533" s="331"/>
    </row>
    <row r="534" spans="1:7" ht="17.25" customHeight="1">
      <c r="A534" s="247" t="s">
        <v>452</v>
      </c>
      <c r="B534" s="214">
        <f>C470</f>
        <v>0</v>
      </c>
      <c r="C534" s="214"/>
      <c r="D534" s="243">
        <f>D466</f>
        <v>0</v>
      </c>
      <c r="E534" s="121"/>
      <c r="F534" s="121"/>
    </row>
    <row r="535" spans="1:7" ht="16">
      <c r="A535" s="116" t="s">
        <v>453</v>
      </c>
      <c r="B535" s="250">
        <f>C521</f>
        <v>-5250.0000000000045</v>
      </c>
      <c r="C535" s="214"/>
      <c r="D535" s="19">
        <f>D467</f>
        <v>0</v>
      </c>
      <c r="E535" s="201">
        <f>F468</f>
        <v>0</v>
      </c>
      <c r="F535" s="245"/>
      <c r="G535" s="332"/>
    </row>
    <row r="536" spans="1:7" ht="19">
      <c r="A536" s="116"/>
      <c r="B536" s="214">
        <f>SUM(B534:B535)</f>
        <v>-5250.0000000000045</v>
      </c>
      <c r="C536" s="214"/>
      <c r="D536" s="121" t="s">
        <v>454</v>
      </c>
      <c r="E536" s="244">
        <f>E535*10/100</f>
        <v>0</v>
      </c>
      <c r="F536" s="245">
        <f>E535-E536</f>
        <v>0</v>
      </c>
      <c r="G536" s="133"/>
    </row>
    <row r="537" spans="1:7" ht="20.5">
      <c r="A537" s="116" t="s">
        <v>455</v>
      </c>
      <c r="B537" s="254">
        <f>'PROJECT REPORT '!L803*100000</f>
        <v>0</v>
      </c>
      <c r="D537" s="258"/>
      <c r="E537" s="245"/>
      <c r="F537" s="245"/>
    </row>
    <row r="538" spans="1:7" ht="19">
      <c r="A538" s="116"/>
      <c r="B538" s="214">
        <f>C538</f>
        <v>-5250.0000000000045</v>
      </c>
      <c r="C538" s="216">
        <f>B536-B537</f>
        <v>-5250.0000000000045</v>
      </c>
      <c r="D538" s="100"/>
      <c r="E538" s="244"/>
      <c r="F538" s="245"/>
    </row>
    <row r="539" spans="1:7" ht="16">
      <c r="A539" s="257" t="str">
        <f>A471</f>
        <v>FEDERAL BANK</v>
      </c>
      <c r="B539" s="214"/>
      <c r="C539" s="216"/>
      <c r="D539" s="123"/>
      <c r="E539" s="201"/>
      <c r="F539" s="245"/>
    </row>
    <row r="540" spans="1:7" ht="19">
      <c r="A540" s="247" t="s">
        <v>501</v>
      </c>
      <c r="B540" s="214"/>
      <c r="C540" s="214"/>
      <c r="D540" s="100"/>
      <c r="E540" s="244"/>
      <c r="F540" s="245"/>
    </row>
    <row r="541" spans="1:7" ht="19">
      <c r="A541" s="261" t="str">
        <f>A473</f>
        <v>DEFERRED TAX LIABILITIES</v>
      </c>
      <c r="B541" s="214"/>
      <c r="C541" s="214"/>
      <c r="D541" s="129">
        <f>D475</f>
        <v>0</v>
      </c>
      <c r="E541" s="244"/>
      <c r="F541" s="245"/>
    </row>
    <row r="542" spans="1:7" ht="19">
      <c r="A542" s="116" t="str">
        <f>A474</f>
        <v>OTHER  CURRENT LIABILITIES</v>
      </c>
      <c r="B542" s="214">
        <v>0</v>
      </c>
      <c r="C542" s="214"/>
      <c r="D542" s="245" t="s">
        <v>461</v>
      </c>
      <c r="E542" s="244"/>
      <c r="F542" s="214">
        <f>C555-F536-F538-F540-F543-F546-F547-F548</f>
        <v>-5252.6250000000045</v>
      </c>
    </row>
    <row r="543" spans="1:7" ht="16">
      <c r="A543" s="261" t="str">
        <f>A475</f>
        <v>SUNDRY CREDITORS</v>
      </c>
      <c r="B543" s="214"/>
      <c r="C543" s="214"/>
      <c r="D543" s="100" t="s">
        <v>460</v>
      </c>
      <c r="E543" s="100"/>
      <c r="F543" s="214">
        <f>F504</f>
        <v>0</v>
      </c>
    </row>
    <row r="544" spans="1:7" ht="16">
      <c r="A544" s="116" t="str">
        <f>A476</f>
        <v>SHORT TERM PROVISIONS</v>
      </c>
      <c r="B544" s="145">
        <f>'PROJECT REPORT '!L955*100000</f>
        <v>0</v>
      </c>
      <c r="D544" s="100"/>
      <c r="E544" s="100"/>
      <c r="F544" s="214"/>
    </row>
    <row r="545" spans="1:6" ht="16">
      <c r="B545" s="141">
        <f>C545</f>
        <v>0</v>
      </c>
      <c r="C545" s="123">
        <f>B542+B544</f>
        <v>0</v>
      </c>
      <c r="D545" s="319" t="s">
        <v>463</v>
      </c>
      <c r="E545" s="245"/>
      <c r="F545" s="245"/>
    </row>
    <row r="546" spans="1:6" ht="16">
      <c r="A546" s="240" t="str">
        <f>A478</f>
        <v>TELEPHONE &amp; INTERNET  CHARGES PAYABLE</v>
      </c>
      <c r="B546" s="141"/>
      <c r="C546" s="123"/>
      <c r="D546" s="214" t="s">
        <v>464</v>
      </c>
      <c r="E546" s="245"/>
      <c r="F546" s="245">
        <f>'PROJECT REPORT '!L807*100000</f>
        <v>0</v>
      </c>
    </row>
    <row r="547" spans="1:6" ht="16">
      <c r="A547" s="240" t="str">
        <f>A479</f>
        <v>GST PAYABLE</v>
      </c>
      <c r="B547" s="133"/>
      <c r="C547" s="121"/>
      <c r="D547" s="214" t="s">
        <v>518</v>
      </c>
      <c r="E547" s="245"/>
      <c r="F547" s="245">
        <f>F481*140/100</f>
        <v>0</v>
      </c>
    </row>
    <row r="548" spans="1:6" ht="18.5">
      <c r="A548" s="116" t="s">
        <v>459</v>
      </c>
      <c r="B548" s="133"/>
      <c r="C548" s="100">
        <f>F500*0.05/100</f>
        <v>-2.6250000000000022</v>
      </c>
      <c r="D548" s="100"/>
      <c r="E548" s="244"/>
      <c r="F548" s="298"/>
    </row>
    <row r="549" spans="1:6" ht="18.5">
      <c r="A549" s="257">
        <f>A481</f>
        <v>0</v>
      </c>
      <c r="B549" s="133"/>
      <c r="C549" s="100"/>
      <c r="D549" s="100"/>
      <c r="E549" s="244"/>
      <c r="F549" s="298"/>
    </row>
    <row r="550" spans="1:6" ht="18.5">
      <c r="A550" s="19" t="s">
        <v>524</v>
      </c>
      <c r="B550" s="133"/>
      <c r="C550" s="100">
        <f>'PROJECT REPORT '!L920*100000/12</f>
        <v>0</v>
      </c>
      <c r="D550" s="100"/>
      <c r="E550" s="244"/>
      <c r="F550" s="298"/>
    </row>
    <row r="551" spans="1:6" ht="18.5">
      <c r="A551" s="19" t="s">
        <v>554</v>
      </c>
      <c r="B551" s="133"/>
      <c r="C551" s="100">
        <f>'PROJECT REPORT '!L910*100000/12</f>
        <v>0</v>
      </c>
      <c r="D551" s="100"/>
      <c r="E551" s="244"/>
      <c r="F551" s="298"/>
    </row>
    <row r="552" spans="1:6" ht="18.5">
      <c r="A552" s="116" t="s">
        <v>538</v>
      </c>
      <c r="B552" s="133"/>
      <c r="C552" s="100">
        <f>('PROJECT REPORT '!L914+'PROJECT REPORT '!L916)*100000/12</f>
        <v>0</v>
      </c>
      <c r="D552" s="100"/>
      <c r="E552" s="244"/>
      <c r="F552" s="298"/>
    </row>
    <row r="553" spans="1:6" ht="18.5">
      <c r="A553" s="19" t="s">
        <v>528</v>
      </c>
      <c r="B553" s="133"/>
      <c r="C553" s="100">
        <f>'PROJECT REPORT '!L918*100000/12</f>
        <v>0</v>
      </c>
      <c r="D553" s="100"/>
      <c r="E553" s="244"/>
      <c r="F553" s="298"/>
    </row>
    <row r="554" spans="1:6">
      <c r="B554" s="133"/>
      <c r="C554" s="121"/>
    </row>
    <row r="555" spans="1:6" ht="15.5">
      <c r="A555" s="20" t="s">
        <v>465</v>
      </c>
      <c r="B555" s="253"/>
      <c r="C555" s="317">
        <f>SUM(C534:C554)</f>
        <v>-5252.6250000000045</v>
      </c>
      <c r="D555" s="253" t="s">
        <v>466</v>
      </c>
      <c r="E555" s="253"/>
      <c r="F555" s="317">
        <f>SUM(F535:F548)</f>
        <v>-5252.6250000000045</v>
      </c>
    </row>
    <row r="556" spans="1:6" ht="15.5">
      <c r="A556" s="178"/>
      <c r="B556" s="190"/>
      <c r="C556" s="190"/>
      <c r="D556" s="191"/>
      <c r="E556" s="191"/>
      <c r="F556" s="191"/>
    </row>
    <row r="557" spans="1:6" ht="15.5">
      <c r="A557" s="184"/>
      <c r="B557" s="188"/>
      <c r="C557" s="188"/>
      <c r="D557" s="222">
        <f>D524</f>
        <v>0</v>
      </c>
      <c r="E557" s="170"/>
      <c r="F557" s="170"/>
    </row>
    <row r="558" spans="1:6" ht="16">
      <c r="A558" s="212">
        <f>A525</f>
        <v>0</v>
      </c>
      <c r="B558" s="253"/>
      <c r="C558" s="188"/>
      <c r="D558" s="223"/>
      <c r="E558" s="151"/>
      <c r="F558" s="245"/>
    </row>
    <row r="559" spans="1:6" ht="16">
      <c r="A559" s="224">
        <f>A526</f>
        <v>0</v>
      </c>
      <c r="B559" s="253"/>
      <c r="C559" s="188"/>
      <c r="D559" s="222"/>
      <c r="E559" s="151"/>
      <c r="F559" s="245"/>
    </row>
    <row r="560" spans="1:6" ht="15.5">
      <c r="A560" s="20"/>
      <c r="B560" s="253"/>
      <c r="C560" s="188"/>
      <c r="D560" s="225" t="str">
        <f>D527</f>
        <v>Proprietor</v>
      </c>
      <c r="E560" s="151"/>
      <c r="F560" s="245"/>
    </row>
    <row r="561" spans="1:6" ht="15.5">
      <c r="A561" s="20"/>
      <c r="B561" s="253"/>
      <c r="C561" s="188"/>
      <c r="D561" s="192"/>
      <c r="E561" s="151"/>
      <c r="F561" s="245"/>
    </row>
    <row r="562" spans="1:6" ht="15.5">
      <c r="C562" s="4"/>
      <c r="D562" s="4"/>
      <c r="F562" s="1"/>
    </row>
    <row r="563" spans="1:6" ht="15.5">
      <c r="C563" s="4"/>
      <c r="D563" s="4"/>
      <c r="F563" s="1"/>
    </row>
    <row r="564" spans="1:6" ht="15.5">
      <c r="C564" s="4"/>
      <c r="D564" s="4"/>
      <c r="F564" s="1"/>
    </row>
    <row r="565" spans="1:6" ht="15.5">
      <c r="C565" s="4"/>
      <c r="D565" s="4"/>
      <c r="F565" s="1"/>
    </row>
    <row r="566" spans="1:6" ht="15.5">
      <c r="C566" s="4"/>
      <c r="D566" s="4"/>
      <c r="F566" s="1"/>
    </row>
    <row r="567" spans="1:6" ht="15.5">
      <c r="C567" s="4"/>
      <c r="D567" s="4"/>
      <c r="F567" s="1"/>
    </row>
    <row r="568" spans="1:6" ht="15.5">
      <c r="C568" s="4"/>
      <c r="D568" s="4"/>
      <c r="F568" s="1"/>
    </row>
    <row r="569" spans="1:6" ht="15.5">
      <c r="C569" s="4"/>
      <c r="D569" s="4"/>
    </row>
    <row r="570" spans="1:6" ht="15.5">
      <c r="C570" s="4"/>
      <c r="D570" s="4"/>
    </row>
    <row r="571" spans="1:6" ht="15.5">
      <c r="C571" s="4"/>
      <c r="D571" s="4"/>
    </row>
    <row r="572" spans="1:6" ht="15.5">
      <c r="C572" s="4"/>
      <c r="D572" s="4"/>
    </row>
    <row r="573" spans="1:6" ht="15.5">
      <c r="C573" s="4"/>
      <c r="D573" s="4"/>
    </row>
    <row r="574" spans="1:6" ht="15.5">
      <c r="C574" s="4"/>
      <c r="D574" s="4"/>
    </row>
    <row r="575" spans="1:6" ht="15.5">
      <c r="C575" s="4"/>
      <c r="D575" s="4"/>
    </row>
    <row r="576" spans="1:6" ht="15.5">
      <c r="A576" s="21"/>
      <c r="C576" s="4"/>
      <c r="D576" s="19"/>
    </row>
    <row r="577" spans="1:4" ht="15.5">
      <c r="A577" s="21"/>
      <c r="C577" s="21"/>
      <c r="D577" s="19"/>
    </row>
    <row r="578" spans="1:4" ht="15.5">
      <c r="A578" s="21"/>
      <c r="B578" s="21"/>
      <c r="C578" s="21"/>
      <c r="D578" s="19"/>
    </row>
    <row r="579" spans="1:4" ht="15.5">
      <c r="B579" s="21"/>
    </row>
    <row r="580" spans="1:4" ht="15.5">
      <c r="A580" s="333"/>
      <c r="B580" s="4"/>
      <c r="C580" s="4"/>
      <c r="D580" s="4"/>
    </row>
    <row r="581" spans="1:4" ht="15.5">
      <c r="A581" s="333"/>
      <c r="B581" s="21"/>
      <c r="C581" s="290"/>
      <c r="D581" s="133"/>
    </row>
    <row r="582" spans="1:4" ht="15.5">
      <c r="B582" s="137"/>
      <c r="C582" s="137"/>
      <c r="D582" s="1"/>
    </row>
    <row r="583" spans="1:4" ht="15.5">
      <c r="A583" s="19"/>
      <c r="B583" s="137"/>
      <c r="C583" s="141"/>
      <c r="D583" s="1"/>
    </row>
    <row r="584" spans="1:4" ht="15.5">
      <c r="A584" s="240"/>
      <c r="B584" s="137"/>
      <c r="C584" s="141"/>
      <c r="D584" s="1"/>
    </row>
    <row r="585" spans="1:4" ht="15.5">
      <c r="A585" s="240"/>
      <c r="B585" s="137"/>
      <c r="C585" s="141"/>
      <c r="D585" s="1"/>
    </row>
    <row r="586" spans="1:4" ht="15.5">
      <c r="A586" s="19"/>
      <c r="B586" s="306"/>
      <c r="C586" s="141"/>
      <c r="D586" s="141"/>
    </row>
    <row r="587" spans="1:4" ht="15.5">
      <c r="B587" s="137"/>
      <c r="C587" s="137"/>
      <c r="D587" s="1"/>
    </row>
    <row r="588" spans="1:4" ht="15.5">
      <c r="A588" s="21"/>
      <c r="B588" s="137"/>
      <c r="C588" s="141"/>
      <c r="D588" s="1"/>
    </row>
    <row r="589" spans="1:4" ht="15.5">
      <c r="A589" s="21"/>
      <c r="B589" s="137"/>
      <c r="C589" s="141"/>
      <c r="D589" s="1"/>
    </row>
    <row r="590" spans="1:4" ht="15.5">
      <c r="A590" s="19"/>
      <c r="B590" s="306"/>
      <c r="C590" s="141"/>
      <c r="D590" s="141"/>
    </row>
    <row r="591" spans="1:4" ht="15.5">
      <c r="A591" s="19"/>
      <c r="B591" s="306"/>
      <c r="C591" s="141"/>
      <c r="D591" s="141"/>
    </row>
    <row r="592" spans="1:4" ht="15.5">
      <c r="A592" s="240"/>
      <c r="B592" s="137"/>
      <c r="C592" s="141"/>
      <c r="D592" s="1"/>
    </row>
    <row r="593" spans="1:4" ht="15.5">
      <c r="A593" s="240"/>
      <c r="B593" s="137"/>
      <c r="C593" s="141"/>
      <c r="D593" s="1"/>
    </row>
    <row r="594" spans="1:4" ht="15.5">
      <c r="A594" s="19"/>
      <c r="B594" s="137"/>
      <c r="C594" s="141"/>
      <c r="D594" s="141"/>
    </row>
    <row r="595" spans="1:4" ht="13">
      <c r="B595" s="306"/>
      <c r="C595" s="1"/>
      <c r="D595" s="1"/>
    </row>
    <row r="596" spans="1:4" ht="15.5">
      <c r="A596" s="240"/>
      <c r="B596" s="137"/>
      <c r="C596" s="141"/>
      <c r="D596" s="1"/>
    </row>
    <row r="597" spans="1:4" ht="15.5">
      <c r="A597" s="19"/>
      <c r="B597" s="137"/>
      <c r="C597" s="141"/>
      <c r="D597" s="141"/>
    </row>
    <row r="598" spans="1:4" ht="15.5">
      <c r="A598" s="19"/>
      <c r="B598" s="137"/>
      <c r="C598" s="141"/>
      <c r="D598" s="141"/>
    </row>
    <row r="599" spans="1:4" ht="15.5">
      <c r="A599" s="240"/>
      <c r="B599" s="137"/>
      <c r="C599" s="141"/>
      <c r="D599" s="1"/>
    </row>
    <row r="600" spans="1:4" ht="15.5">
      <c r="A600" s="19"/>
      <c r="B600" s="137"/>
      <c r="C600" s="141"/>
      <c r="D600" s="141"/>
    </row>
    <row r="601" spans="1:4" ht="15.5">
      <c r="A601" s="19"/>
      <c r="B601" s="137"/>
      <c r="C601" s="141"/>
      <c r="D601" s="141"/>
    </row>
    <row r="602" spans="1:4" ht="13">
      <c r="B602" s="306"/>
      <c r="C602" s="1"/>
      <c r="D602" s="1"/>
    </row>
    <row r="603" spans="1:4" ht="15.5">
      <c r="A603" s="240"/>
      <c r="B603" s="137"/>
      <c r="C603" s="141"/>
      <c r="D603" s="1"/>
    </row>
    <row r="604" spans="1:4" ht="15.5">
      <c r="A604" s="19"/>
      <c r="B604" s="137"/>
      <c r="C604" s="141"/>
      <c r="D604" s="141"/>
    </row>
    <row r="605" spans="1:4" ht="13">
      <c r="B605" s="306"/>
      <c r="C605" s="1"/>
      <c r="D605" s="1"/>
    </row>
    <row r="606" spans="1:4" ht="15.5">
      <c r="B606" s="137"/>
      <c r="C606" s="141"/>
      <c r="D606" s="1"/>
    </row>
    <row r="607" spans="1:4" ht="15.5">
      <c r="A607" s="19"/>
      <c r="B607" s="137"/>
      <c r="C607" s="137"/>
      <c r="D607" s="137"/>
    </row>
    <row r="608" spans="1:4" ht="15.5">
      <c r="B608" s="1"/>
      <c r="C608" s="141"/>
      <c r="D608" s="141"/>
    </row>
    <row r="609" spans="1:7" ht="15.5">
      <c r="A609" s="19"/>
      <c r="B609" s="141"/>
      <c r="C609" s="1"/>
      <c r="D609" s="1"/>
    </row>
    <row r="612" spans="1:7" ht="15.5">
      <c r="C612" s="4"/>
      <c r="D612" s="4"/>
    </row>
    <row r="613" spans="1:7" ht="15.5">
      <c r="C613" s="4"/>
      <c r="D613" s="4"/>
    </row>
    <row r="614" spans="1:7" ht="15.5">
      <c r="C614" s="4"/>
      <c r="D614" s="4"/>
    </row>
    <row r="615" spans="1:7" ht="15.5">
      <c r="C615" s="4"/>
      <c r="D615" s="4"/>
    </row>
    <row r="616" spans="1:7" ht="15.5">
      <c r="C616" s="4"/>
      <c r="D616" s="4"/>
    </row>
    <row r="617" spans="1:7" ht="15.5">
      <c r="C617" s="4"/>
      <c r="D617" s="4"/>
      <c r="G617" s="332"/>
    </row>
    <row r="618" spans="1:7" ht="15.5">
      <c r="C618" s="4"/>
      <c r="D618" s="4"/>
      <c r="G618" s="133"/>
    </row>
    <row r="619" spans="1:7" ht="15.5">
      <c r="A619" s="21"/>
      <c r="B619" s="21"/>
      <c r="C619" s="21"/>
      <c r="D619" s="19"/>
    </row>
    <row r="620" spans="1:7" ht="15.5">
      <c r="A620" s="21"/>
      <c r="B620" s="21"/>
      <c r="C620" s="21"/>
      <c r="D620" s="19"/>
    </row>
    <row r="621" spans="1:7" ht="15.5">
      <c r="A621" s="21"/>
      <c r="B621" s="21"/>
      <c r="C621" s="21"/>
      <c r="D621" s="19"/>
    </row>
    <row r="622" spans="1:7" ht="15.5">
      <c r="A622" s="21"/>
      <c r="B622" s="21"/>
    </row>
    <row r="623" spans="1:7" ht="15.5">
      <c r="A623" s="333"/>
      <c r="B623" s="4"/>
      <c r="C623" s="4"/>
      <c r="D623" s="4"/>
    </row>
    <row r="624" spans="1:7" ht="15.5">
      <c r="A624" s="333"/>
      <c r="B624" s="21"/>
      <c r="C624" s="290"/>
      <c r="D624" s="133"/>
    </row>
    <row r="625" spans="1:4" ht="15.5">
      <c r="B625" s="290"/>
      <c r="C625" s="290"/>
      <c r="D625" s="133"/>
    </row>
    <row r="626" spans="1:4" ht="15.5">
      <c r="A626" s="19"/>
      <c r="B626" s="118"/>
      <c r="C626" s="118"/>
      <c r="D626" s="133"/>
    </row>
    <row r="627" spans="1:4" ht="15.5">
      <c r="A627" s="240"/>
      <c r="B627" s="137"/>
      <c r="C627" s="141"/>
      <c r="D627" s="1"/>
    </row>
    <row r="628" spans="1:4" ht="15.5">
      <c r="A628" s="240"/>
      <c r="B628" s="137"/>
      <c r="C628" s="141"/>
      <c r="D628" s="1"/>
    </row>
    <row r="629" spans="1:4" ht="15.5">
      <c r="A629" s="19"/>
      <c r="B629" s="306"/>
      <c r="C629" s="141"/>
      <c r="D629" s="141"/>
    </row>
    <row r="630" spans="1:4" ht="15.5">
      <c r="B630" s="137"/>
      <c r="C630" s="137"/>
      <c r="D630" s="1"/>
    </row>
    <row r="631" spans="1:4" ht="15.5">
      <c r="A631" s="21"/>
      <c r="B631" s="137"/>
      <c r="C631" s="141"/>
      <c r="D631" s="1"/>
    </row>
    <row r="632" spans="1:4" ht="15.5">
      <c r="A632" s="21"/>
      <c r="B632" s="137"/>
      <c r="C632" s="141"/>
      <c r="D632" s="1"/>
    </row>
    <row r="633" spans="1:4" ht="15.5">
      <c r="A633" s="19"/>
      <c r="C633" s="141"/>
      <c r="D633" s="141"/>
    </row>
    <row r="634" spans="1:4" ht="15.5">
      <c r="A634" s="19"/>
      <c r="B634" s="306"/>
      <c r="C634" s="141"/>
      <c r="D634" s="141"/>
    </row>
    <row r="635" spans="1:4" ht="15.5">
      <c r="A635" s="240"/>
      <c r="B635" s="137"/>
      <c r="C635" s="141"/>
      <c r="D635" s="1"/>
    </row>
    <row r="636" spans="1:4" ht="15.5">
      <c r="A636" s="240"/>
      <c r="B636" s="137"/>
      <c r="C636" s="141"/>
      <c r="D636" s="1"/>
    </row>
    <row r="637" spans="1:4" ht="15.5">
      <c r="A637" s="19"/>
      <c r="B637" s="137"/>
      <c r="C637" s="141"/>
      <c r="D637" s="141"/>
    </row>
    <row r="638" spans="1:4" ht="15.5">
      <c r="A638" s="19"/>
      <c r="B638" s="137"/>
      <c r="C638" s="141"/>
      <c r="D638" s="141"/>
    </row>
    <row r="639" spans="1:4" ht="15.5">
      <c r="A639" s="240"/>
      <c r="B639" s="137"/>
      <c r="C639" s="141"/>
      <c r="D639" s="1"/>
    </row>
    <row r="640" spans="1:4" ht="15.5">
      <c r="A640" s="19"/>
      <c r="B640" s="137"/>
      <c r="C640" s="141"/>
      <c r="D640" s="141"/>
    </row>
    <row r="641" spans="1:4" ht="15.5">
      <c r="A641" s="19"/>
      <c r="B641" s="137"/>
      <c r="C641" s="141"/>
      <c r="D641" s="141"/>
    </row>
    <row r="642" spans="1:4" ht="15.5">
      <c r="A642" s="240"/>
      <c r="B642" s="137"/>
      <c r="C642" s="141"/>
      <c r="D642" s="1"/>
    </row>
    <row r="643" spans="1:4" ht="15.5">
      <c r="A643" s="19"/>
      <c r="B643" s="137"/>
      <c r="C643" s="141"/>
      <c r="D643" s="141"/>
    </row>
    <row r="644" spans="1:4" ht="15.5">
      <c r="A644" s="19"/>
      <c r="B644" s="137"/>
      <c r="C644" s="141"/>
      <c r="D644" s="141"/>
    </row>
    <row r="645" spans="1:4" ht="15.5">
      <c r="B645" s="137"/>
      <c r="C645" s="137"/>
      <c r="D645" s="1"/>
    </row>
    <row r="646" spans="1:4" ht="15.5">
      <c r="A646" s="21"/>
      <c r="B646" s="137"/>
      <c r="C646" s="141"/>
      <c r="D646" s="1"/>
    </row>
    <row r="647" spans="1:4" ht="15.5">
      <c r="A647" s="19"/>
      <c r="C647" s="141"/>
      <c r="D647" s="141"/>
    </row>
    <row r="648" spans="1:4" ht="15.5">
      <c r="B648" s="141"/>
      <c r="C648" s="141"/>
      <c r="D648" s="1"/>
    </row>
    <row r="649" spans="1:4" ht="15.5">
      <c r="A649" s="19"/>
      <c r="B649" s="137"/>
      <c r="C649" s="137"/>
      <c r="D649" s="137"/>
    </row>
    <row r="650" spans="1:4">
      <c r="B650" s="1"/>
      <c r="C650" s="1"/>
      <c r="D650" s="1"/>
    </row>
    <row r="662" spans="1:7">
      <c r="G662" s="133"/>
    </row>
    <row r="663" spans="1:7">
      <c r="G663" s="332"/>
    </row>
    <row r="664" spans="1:7">
      <c r="G664" s="332"/>
    </row>
    <row r="665" spans="1:7">
      <c r="G665" s="332"/>
    </row>
    <row r="666" spans="1:7">
      <c r="G666" s="332"/>
    </row>
    <row r="667" spans="1:7" ht="15.5">
      <c r="A667" s="21"/>
      <c r="B667" s="21"/>
      <c r="C667" s="21"/>
      <c r="D667" s="19"/>
      <c r="G667" s="332"/>
    </row>
    <row r="668" spans="1:7" ht="15.5">
      <c r="A668" s="21"/>
      <c r="C668" s="21"/>
      <c r="D668" s="19"/>
      <c r="G668" s="332"/>
    </row>
    <row r="669" spans="1:7" ht="15.5">
      <c r="A669" s="21"/>
      <c r="C669" s="21"/>
      <c r="D669" s="19"/>
      <c r="G669" s="332"/>
    </row>
    <row r="670" spans="1:7" ht="15.5">
      <c r="A670" s="21"/>
      <c r="B670" s="21"/>
      <c r="G670" s="133"/>
    </row>
    <row r="671" spans="1:7" ht="15.5">
      <c r="A671" s="333"/>
      <c r="B671" s="4"/>
      <c r="C671" s="4"/>
      <c r="D671" s="4"/>
    </row>
    <row r="672" spans="1:7" ht="15.5">
      <c r="A672" s="333"/>
      <c r="B672" s="21"/>
      <c r="C672" s="290"/>
      <c r="D672" s="133"/>
    </row>
    <row r="673" spans="1:4" ht="15.5">
      <c r="B673" s="290"/>
      <c r="C673" s="290"/>
      <c r="D673" s="133"/>
    </row>
    <row r="674" spans="1:4" ht="15.5">
      <c r="A674" s="19"/>
      <c r="B674" s="118"/>
      <c r="C674" s="141"/>
      <c r="D674" s="1"/>
    </row>
    <row r="675" spans="1:4" ht="15.5">
      <c r="A675" s="240"/>
      <c r="B675" s="123"/>
      <c r="C675" s="141"/>
      <c r="D675" s="1"/>
    </row>
    <row r="676" spans="1:4" ht="15.5">
      <c r="A676" s="240"/>
      <c r="B676" s="123"/>
      <c r="C676" s="141"/>
      <c r="D676" s="1"/>
    </row>
    <row r="677" spans="1:4" ht="15.5">
      <c r="A677" s="19"/>
      <c r="B677" s="334"/>
      <c r="C677" s="141"/>
      <c r="D677" s="141"/>
    </row>
    <row r="678" spans="1:4" ht="15.5">
      <c r="B678" s="123"/>
      <c r="C678" s="137"/>
      <c r="D678" s="1"/>
    </row>
    <row r="679" spans="1:4" ht="15.5">
      <c r="A679" s="21"/>
      <c r="B679" s="123"/>
      <c r="C679" s="141"/>
      <c r="D679" s="1"/>
    </row>
    <row r="680" spans="1:4" ht="15.5">
      <c r="A680" s="21"/>
      <c r="B680" s="123"/>
      <c r="C680" s="141"/>
      <c r="D680" s="1"/>
    </row>
    <row r="681" spans="1:4" ht="15.5">
      <c r="A681" s="19"/>
      <c r="C681" s="141"/>
      <c r="D681" s="141"/>
    </row>
    <row r="682" spans="1:4" ht="15.5">
      <c r="A682" s="19"/>
      <c r="B682" s="334"/>
      <c r="C682" s="141"/>
      <c r="D682" s="141"/>
    </row>
    <row r="683" spans="1:4" ht="15.5">
      <c r="A683" s="240"/>
      <c r="B683" s="123"/>
      <c r="C683" s="141"/>
      <c r="D683" s="1"/>
    </row>
    <row r="684" spans="1:4" ht="15.5">
      <c r="A684" s="240"/>
      <c r="B684" s="123"/>
      <c r="C684" s="141"/>
      <c r="D684" s="1"/>
    </row>
    <row r="685" spans="1:4" ht="15.5">
      <c r="A685" s="19"/>
      <c r="B685" s="123"/>
      <c r="C685" s="141"/>
      <c r="D685" s="141"/>
    </row>
    <row r="686" spans="1:4" ht="15.5">
      <c r="A686" s="19"/>
      <c r="B686" s="123"/>
      <c r="C686" s="141"/>
      <c r="D686" s="141"/>
    </row>
    <row r="687" spans="1:4" ht="15.5">
      <c r="A687" s="21"/>
      <c r="B687" s="123"/>
      <c r="C687" s="141"/>
      <c r="D687" s="1"/>
    </row>
    <row r="688" spans="1:4" ht="15.5">
      <c r="A688" s="19"/>
      <c r="C688" s="141"/>
      <c r="D688" s="141"/>
    </row>
    <row r="689" spans="1:6" ht="15.5">
      <c r="A689" s="19"/>
      <c r="C689" s="141"/>
      <c r="D689" s="141"/>
    </row>
    <row r="690" spans="1:6" ht="15.5">
      <c r="A690" s="240"/>
      <c r="B690" s="123"/>
      <c r="C690" s="141"/>
      <c r="D690" s="1"/>
    </row>
    <row r="691" spans="1:6" ht="15.5">
      <c r="A691" s="19"/>
      <c r="B691" s="123"/>
      <c r="C691" s="141"/>
      <c r="D691" s="141"/>
    </row>
    <row r="692" spans="1:6" ht="15.5">
      <c r="A692" s="19"/>
      <c r="B692" s="123"/>
      <c r="C692" s="141"/>
      <c r="D692" s="141"/>
      <c r="F692" s="1"/>
    </row>
    <row r="693" spans="1:6" ht="15.5">
      <c r="A693" s="21"/>
      <c r="B693" s="123"/>
      <c r="C693" s="141"/>
      <c r="D693" s="1"/>
      <c r="F693" s="1"/>
    </row>
    <row r="694" spans="1:6" ht="15.5">
      <c r="A694" s="19"/>
      <c r="C694" s="141"/>
      <c r="D694" s="141"/>
      <c r="F694" s="1"/>
    </row>
    <row r="695" spans="1:6" ht="15.5">
      <c r="A695" s="19"/>
      <c r="B695" s="334"/>
      <c r="C695" s="141"/>
      <c r="D695" s="141"/>
      <c r="F695" s="1"/>
    </row>
    <row r="696" spans="1:6">
      <c r="B696" s="133"/>
      <c r="C696" s="1"/>
      <c r="D696" s="1"/>
    </row>
    <row r="697" spans="1:6" ht="15.5">
      <c r="B697" s="118"/>
      <c r="C697" s="141"/>
      <c r="D697" s="1"/>
    </row>
    <row r="698" spans="1:6" ht="15.5">
      <c r="A698" s="19"/>
      <c r="B698" s="137"/>
      <c r="C698" s="137"/>
      <c r="D698" s="137"/>
      <c r="F698" s="1"/>
    </row>
    <row r="699" spans="1:6">
      <c r="F699" s="1"/>
    </row>
    <row r="700" spans="1:6">
      <c r="F700" s="1"/>
    </row>
    <row r="701" spans="1:6">
      <c r="F701" s="1"/>
    </row>
    <row r="702" spans="1:6">
      <c r="F702" s="1"/>
    </row>
    <row r="703" spans="1:6">
      <c r="F703" s="1"/>
    </row>
    <row r="704" spans="1:6">
      <c r="F704" s="1"/>
    </row>
    <row r="705" spans="6:7">
      <c r="F705" s="1"/>
    </row>
    <row r="706" spans="6:7">
      <c r="F706" s="1"/>
    </row>
    <row r="707" spans="6:7">
      <c r="F707" s="1"/>
      <c r="G707" s="133"/>
    </row>
    <row r="708" spans="6:7">
      <c r="F708" s="1"/>
      <c r="G708" s="133"/>
    </row>
    <row r="709" spans="6:7">
      <c r="F709" s="1"/>
      <c r="G709" s="133"/>
    </row>
    <row r="710" spans="6:7">
      <c r="F710" s="1"/>
      <c r="G710" s="133"/>
    </row>
    <row r="711" spans="6:7">
      <c r="F711" s="1"/>
      <c r="G711" s="133"/>
    </row>
    <row r="712" spans="6:7">
      <c r="F712" s="1"/>
      <c r="G712" s="133"/>
    </row>
    <row r="713" spans="6:7">
      <c r="F713" s="1"/>
      <c r="G713" s="133"/>
    </row>
    <row r="714" spans="6:7">
      <c r="F714" s="1"/>
      <c r="G714" s="332"/>
    </row>
    <row r="715" spans="6:7">
      <c r="F715" s="1"/>
      <c r="G715" s="133"/>
    </row>
    <row r="716" spans="6:7">
      <c r="F716" s="1"/>
    </row>
    <row r="758" spans="7:7">
      <c r="G758" s="133"/>
    </row>
    <row r="759" spans="7:7">
      <c r="G759" s="133"/>
    </row>
    <row r="760" spans="7:7">
      <c r="G760" s="133"/>
    </row>
    <row r="761" spans="7:7">
      <c r="G761" s="133"/>
    </row>
    <row r="762" spans="7:7">
      <c r="G762" s="133"/>
    </row>
    <row r="763" spans="7:7">
      <c r="G763" s="133"/>
    </row>
    <row r="764" spans="7:7">
      <c r="G764" s="133"/>
    </row>
    <row r="765" spans="7:7">
      <c r="G765" s="133"/>
    </row>
    <row r="766" spans="7:7">
      <c r="G766" s="332"/>
    </row>
    <row r="767" spans="7:7">
      <c r="G767" s="133"/>
    </row>
  </sheetData>
  <pageMargins left="0.75" right="0.75" top="1" bottom="1" header="0.5" footer="0.5"/>
  <pageSetup scale="90" orientation="landscape"/>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85"/>
  <sheetViews>
    <sheetView topLeftCell="A9" workbookViewId="0">
      <selection activeCell="F9" sqref="F9"/>
    </sheetView>
  </sheetViews>
  <sheetFormatPr defaultColWidth="9" defaultRowHeight="12.5"/>
  <cols>
    <col min="1" max="1" width="3.81640625" customWidth="1"/>
    <col min="2" max="2" width="43.1796875" customWidth="1"/>
    <col min="3" max="3" width="7.7265625" customWidth="1"/>
    <col min="4" max="4" width="14.1796875" customWidth="1"/>
    <col min="5" max="5" width="16.54296875" customWidth="1"/>
    <col min="6" max="6" width="15.81640625" customWidth="1"/>
    <col min="9" max="9" width="10.26953125" customWidth="1"/>
  </cols>
  <sheetData>
    <row r="1" spans="1:6" hidden="1">
      <c r="A1" s="121"/>
      <c r="B1" s="121"/>
      <c r="C1" s="121"/>
      <c r="D1" s="121"/>
      <c r="E1" s="121"/>
      <c r="F1" s="121"/>
    </row>
    <row r="2" spans="1:6" hidden="1">
      <c r="A2" s="121"/>
      <c r="B2" s="121"/>
      <c r="C2" s="121"/>
      <c r="D2" s="121"/>
      <c r="E2" s="121"/>
      <c r="F2" s="121"/>
    </row>
    <row r="3" spans="1:6" hidden="1">
      <c r="A3" s="121"/>
      <c r="B3" s="121"/>
      <c r="C3" s="121"/>
      <c r="D3" s="121"/>
      <c r="E3" s="121"/>
      <c r="F3" s="121"/>
    </row>
    <row r="4" spans="1:6" hidden="1">
      <c r="A4" s="121"/>
      <c r="B4" s="121"/>
      <c r="C4" s="121"/>
      <c r="D4" s="121"/>
      <c r="E4" s="121"/>
      <c r="F4" s="121"/>
    </row>
    <row r="5" spans="1:6" hidden="1">
      <c r="A5" s="121"/>
      <c r="B5" s="121"/>
      <c r="C5" s="121"/>
      <c r="D5" s="121"/>
      <c r="E5" s="121"/>
      <c r="F5" s="121"/>
    </row>
    <row r="6" spans="1:6" hidden="1">
      <c r="A6" s="121"/>
      <c r="B6" s="121"/>
      <c r="C6" s="121"/>
      <c r="D6" s="121"/>
      <c r="E6" s="121"/>
      <c r="F6" s="121"/>
    </row>
    <row r="7" spans="1:6" hidden="1">
      <c r="A7" s="121"/>
      <c r="B7" s="121"/>
      <c r="C7" s="121"/>
      <c r="D7" s="121"/>
      <c r="E7" s="121"/>
      <c r="F7" s="121"/>
    </row>
    <row r="8" spans="1:6" hidden="1">
      <c r="A8" s="121"/>
      <c r="B8" s="121"/>
      <c r="C8" s="121"/>
      <c r="D8" s="121"/>
      <c r="E8" s="121"/>
      <c r="F8" s="121"/>
    </row>
    <row r="9" spans="1:6">
      <c r="A9" s="121"/>
      <c r="B9" s="121"/>
      <c r="C9" s="121"/>
      <c r="D9" s="121"/>
      <c r="E9" s="121"/>
      <c r="F9" s="121"/>
    </row>
    <row r="10" spans="1:6">
      <c r="A10" s="121"/>
      <c r="B10" s="121"/>
      <c r="C10" s="121"/>
      <c r="D10" s="121"/>
      <c r="E10" s="121"/>
      <c r="F10" s="121"/>
    </row>
    <row r="11" spans="1:6">
      <c r="A11" s="121"/>
      <c r="B11" s="121"/>
      <c r="C11" s="121"/>
      <c r="D11" s="121"/>
      <c r="E11" s="121"/>
      <c r="F11" s="121"/>
    </row>
    <row r="12" spans="1:6">
      <c r="A12" s="121"/>
      <c r="B12" s="121"/>
      <c r="C12" s="121"/>
      <c r="D12" s="121"/>
      <c r="E12" s="121"/>
      <c r="F12" s="121"/>
    </row>
    <row r="13" spans="1:6">
      <c r="A13" s="121"/>
      <c r="B13" s="121"/>
      <c r="C13" s="121"/>
      <c r="D13" s="121"/>
      <c r="E13" s="121"/>
      <c r="F13" s="121"/>
    </row>
    <row r="14" spans="1:6">
      <c r="A14" s="121"/>
      <c r="B14" s="121"/>
      <c r="C14" s="121"/>
      <c r="D14" s="121"/>
      <c r="E14" s="121"/>
      <c r="F14" s="121"/>
    </row>
    <row r="15" spans="1:6">
      <c r="A15" s="121"/>
      <c r="B15" s="121"/>
      <c r="C15" s="121"/>
      <c r="D15" s="121"/>
      <c r="E15" s="121"/>
      <c r="F15" s="121"/>
    </row>
    <row r="16" spans="1:6" ht="15.5">
      <c r="A16" s="121"/>
      <c r="B16" s="122" t="str">
        <f>'T,P&amp;L,BS'!B388</f>
        <v>Mr.SHAFEEK N N</v>
      </c>
      <c r="C16" s="123" t="str">
        <f>'T,P&amp;L,BS'!C388</f>
        <v xml:space="preserve">M/S.SHAS DESIGN AND PRINTING </v>
      </c>
      <c r="D16" s="123"/>
      <c r="E16" s="124"/>
      <c r="F16" s="124"/>
    </row>
    <row r="17" spans="1:9" ht="15.5">
      <c r="A17" s="1019" t="str">
        <f>'DATA INPUT '!C3</f>
        <v>NEAR POST OFFICE, NILESHWAR</v>
      </c>
      <c r="B17" s="1019"/>
      <c r="C17" s="1019"/>
      <c r="D17" s="1019"/>
      <c r="E17" s="1019"/>
      <c r="F17" s="1019"/>
    </row>
    <row r="18" spans="1:9" ht="15.5">
      <c r="A18" s="121"/>
      <c r="B18" s="123" t="s">
        <v>556</v>
      </c>
      <c r="C18" s="121"/>
      <c r="D18" s="123"/>
      <c r="E18" s="123"/>
      <c r="F18" s="100"/>
    </row>
    <row r="19" spans="1:9" ht="15.5">
      <c r="A19" s="121"/>
      <c r="B19" s="121"/>
      <c r="C19" s="123"/>
      <c r="D19" s="123"/>
      <c r="E19" s="123"/>
      <c r="F19" s="100"/>
      <c r="I19" s="132"/>
    </row>
    <row r="20" spans="1:9" ht="21" customHeight="1">
      <c r="A20" s="121"/>
      <c r="B20" s="125" t="s">
        <v>557</v>
      </c>
      <c r="C20" s="126" t="s">
        <v>262</v>
      </c>
      <c r="D20" s="127" t="s">
        <v>558</v>
      </c>
      <c r="E20" s="127" t="s">
        <v>558</v>
      </c>
      <c r="F20" s="127" t="s">
        <v>558</v>
      </c>
    </row>
    <row r="21" spans="1:9" ht="15.5">
      <c r="A21" s="121"/>
      <c r="B21" s="128"/>
      <c r="C21" s="128"/>
      <c r="D21" s="123"/>
      <c r="E21" s="123"/>
      <c r="F21" s="121"/>
    </row>
    <row r="22" spans="1:9" ht="15.5">
      <c r="A22" s="121"/>
      <c r="B22" s="129">
        <f>'PROJECT REPORT '!B84</f>
        <v>0</v>
      </c>
      <c r="C22" s="121"/>
      <c r="D22" s="100">
        <f>'PROJECT REPORT '!H84</f>
        <v>0</v>
      </c>
      <c r="E22" s="100">
        <f>D22</f>
        <v>0</v>
      </c>
      <c r="F22" s="121"/>
    </row>
    <row r="23" spans="1:9" ht="15.5">
      <c r="A23" s="121"/>
      <c r="B23" s="100" t="s">
        <v>559</v>
      </c>
      <c r="C23" s="100">
        <v>10</v>
      </c>
      <c r="D23" s="121"/>
      <c r="E23" s="130">
        <f>E22*10/100/12*'PROJECT REPORT '!O62</f>
        <v>0</v>
      </c>
      <c r="F23" s="100">
        <f>E22-E23</f>
        <v>0</v>
      </c>
      <c r="H23" s="19"/>
    </row>
    <row r="24" spans="1:9" ht="15.5">
      <c r="A24" s="121"/>
      <c r="B24" s="129">
        <f>'PROJECT REPORT '!B86</f>
        <v>0</v>
      </c>
      <c r="C24" s="100"/>
      <c r="D24" s="100">
        <f>'PROJECT REPORT '!H86</f>
        <v>0</v>
      </c>
      <c r="E24" s="100">
        <f>SUM(D24:D24)</f>
        <v>0</v>
      </c>
      <c r="F24" s="121"/>
      <c r="H24" s="19"/>
    </row>
    <row r="25" spans="1:9" ht="15.5">
      <c r="A25" s="121"/>
      <c r="B25" s="100" t="s">
        <v>559</v>
      </c>
      <c r="C25" s="100">
        <v>10</v>
      </c>
      <c r="D25" s="100"/>
      <c r="E25" s="130">
        <f>E24*10/100/12*'PROJECT REPORT '!O62</f>
        <v>0</v>
      </c>
      <c r="F25" s="100">
        <f>E24-E25</f>
        <v>0</v>
      </c>
      <c r="H25" s="19"/>
    </row>
    <row r="26" spans="1:9" ht="15.5">
      <c r="A26" s="121"/>
      <c r="B26" s="129" t="str">
        <f>'PROJECT REPORT '!B88</f>
        <v xml:space="preserve">INVERTOR 3KVA </v>
      </c>
      <c r="C26" s="100"/>
      <c r="D26" s="100">
        <f>'PROJECT REPORT '!H88</f>
        <v>75000</v>
      </c>
      <c r="E26" s="100">
        <f>D26</f>
        <v>75000</v>
      </c>
      <c r="F26" s="121"/>
      <c r="H26" s="19"/>
    </row>
    <row r="27" spans="1:9" ht="15.5">
      <c r="A27" s="121"/>
      <c r="B27" s="100" t="s">
        <v>559</v>
      </c>
      <c r="C27" s="100">
        <v>10</v>
      </c>
      <c r="D27" s="100"/>
      <c r="E27" s="130">
        <f>E26*10/100/12*'PROJECT REPORT '!O62</f>
        <v>5000</v>
      </c>
      <c r="F27" s="100">
        <f>E26-E27</f>
        <v>70000</v>
      </c>
      <c r="H27" s="19"/>
    </row>
    <row r="28" spans="1:9" ht="15.5" hidden="1">
      <c r="A28" s="121"/>
      <c r="B28" s="131" t="str">
        <f>'PROJECT REPORT '!B89</f>
        <v>GODREREJ A/C</v>
      </c>
      <c r="C28" s="100"/>
      <c r="D28" s="100">
        <f>'PROJECT REPORT '!H89</f>
        <v>35000</v>
      </c>
      <c r="E28" s="100">
        <f>D28</f>
        <v>35000</v>
      </c>
      <c r="F28" s="121"/>
      <c r="H28" s="19"/>
      <c r="I28" s="133"/>
    </row>
    <row r="29" spans="1:9" ht="15.5" hidden="1">
      <c r="A29" s="121"/>
      <c r="B29" s="100" t="s">
        <v>559</v>
      </c>
      <c r="C29" s="100">
        <v>10</v>
      </c>
      <c r="D29" s="121"/>
      <c r="E29" s="130">
        <f>E28*10/100/12*'PROJECT REPORT '!O62</f>
        <v>2333.3333333333335</v>
      </c>
      <c r="F29" s="100">
        <f>E28-E29</f>
        <v>32666.666666666668</v>
      </c>
      <c r="H29" s="19"/>
    </row>
    <row r="30" spans="1:9" ht="15.5" hidden="1">
      <c r="A30" s="121"/>
      <c r="B30" s="129" t="str">
        <f>'PROJECT REPORT '!B90</f>
        <v>LLOYD A/C</v>
      </c>
      <c r="C30" s="100"/>
      <c r="D30" s="100">
        <f>'PROJECT REPORT '!H90</f>
        <v>35000</v>
      </c>
      <c r="E30" s="100">
        <f>D30</f>
        <v>35000</v>
      </c>
      <c r="F30" s="121"/>
      <c r="H30" s="19"/>
    </row>
    <row r="31" spans="1:9" ht="15.5" hidden="1">
      <c r="A31" s="121"/>
      <c r="B31" s="100" t="s">
        <v>559</v>
      </c>
      <c r="C31" s="100">
        <v>10</v>
      </c>
      <c r="D31" s="100"/>
      <c r="E31" s="130">
        <f>E30*10/100/12*'PROJECT REPORT '!O62</f>
        <v>2333.3333333333335</v>
      </c>
      <c r="F31" s="100">
        <f>E30-E31</f>
        <v>32666.666666666668</v>
      </c>
      <c r="H31" s="19"/>
    </row>
    <row r="32" spans="1:9" ht="15.5" hidden="1">
      <c r="A32" s="121"/>
      <c r="B32" s="131" t="str">
        <f>'PROJECT REPORT '!B91</f>
        <v>HALER A/C</v>
      </c>
      <c r="C32" s="100"/>
      <c r="D32" s="100">
        <f>'PROJECT REPORT '!H91</f>
        <v>40000</v>
      </c>
      <c r="E32" s="100">
        <f>D32</f>
        <v>40000</v>
      </c>
      <c r="F32" s="121"/>
      <c r="H32" s="19"/>
    </row>
    <row r="33" spans="1:8" ht="15.5" hidden="1">
      <c r="A33" s="121"/>
      <c r="B33" s="100" t="s">
        <v>559</v>
      </c>
      <c r="C33" s="100">
        <v>10</v>
      </c>
      <c r="D33" s="100"/>
      <c r="E33" s="130">
        <f>E32*10/100/12*'PROJECT REPORT '!O62</f>
        <v>2666.6666666666665</v>
      </c>
      <c r="F33" s="100">
        <f>E32-E33</f>
        <v>37333.333333333336</v>
      </c>
      <c r="H33" s="19"/>
    </row>
    <row r="34" spans="1:8" ht="15.5" hidden="1">
      <c r="A34" s="121"/>
      <c r="B34" s="129" t="str">
        <f>'PROJECT REPORT '!B92</f>
        <v>COMPUTER CHAIR , TABLE Etc.</v>
      </c>
      <c r="C34" s="121"/>
      <c r="D34" s="100">
        <f>'PROJECT REPORT '!H92</f>
        <v>85000</v>
      </c>
      <c r="E34" s="100">
        <f>D34</f>
        <v>85000</v>
      </c>
      <c r="F34" s="121"/>
      <c r="H34" s="19"/>
    </row>
    <row r="35" spans="1:8" ht="15.5" hidden="1">
      <c r="A35" s="121"/>
      <c r="B35" s="100" t="s">
        <v>559</v>
      </c>
      <c r="C35" s="100">
        <v>10</v>
      </c>
      <c r="D35" s="121"/>
      <c r="E35" s="130">
        <f>E34*10/100/12*'PROJECT REPORT '!O62</f>
        <v>5666.666666666667</v>
      </c>
      <c r="F35" s="100">
        <f>E34-E35</f>
        <v>79333.333333333328</v>
      </c>
      <c r="H35" s="19"/>
    </row>
    <row r="36" spans="1:8" ht="15.5" hidden="1">
      <c r="A36" s="121"/>
      <c r="B36" s="129">
        <f>'PROJECT REPORT '!B93</f>
        <v>0</v>
      </c>
      <c r="C36" s="100"/>
      <c r="D36" s="100">
        <f>'PROJECT REPORT '!H93</f>
        <v>0</v>
      </c>
      <c r="E36" s="100">
        <f>SUM(D36:D36)</f>
        <v>0</v>
      </c>
      <c r="F36" s="121"/>
      <c r="H36" s="19"/>
    </row>
    <row r="37" spans="1:8" ht="15.5" hidden="1">
      <c r="A37" s="121"/>
      <c r="B37" s="100" t="s">
        <v>559</v>
      </c>
      <c r="C37" s="100">
        <v>10</v>
      </c>
      <c r="D37" s="100"/>
      <c r="E37" s="130">
        <f>E36*10/100/12*'PROJECT REPORT '!O62</f>
        <v>0</v>
      </c>
      <c r="F37" s="100">
        <f>E36-E37</f>
        <v>0</v>
      </c>
      <c r="H37" s="19"/>
    </row>
    <row r="38" spans="1:8" ht="15.5" hidden="1">
      <c r="A38" s="121"/>
      <c r="B38" s="129">
        <f>'PROJECT REPORT '!B94</f>
        <v>0</v>
      </c>
      <c r="C38" s="100"/>
      <c r="D38" s="100">
        <f>'PROJECT REPORT '!H94</f>
        <v>0</v>
      </c>
      <c r="E38" s="100">
        <f>D38</f>
        <v>0</v>
      </c>
      <c r="F38" s="121"/>
      <c r="H38" s="19"/>
    </row>
    <row r="39" spans="1:8" ht="15.5" hidden="1">
      <c r="A39" s="121"/>
      <c r="B39" s="100" t="s">
        <v>559</v>
      </c>
      <c r="C39" s="100">
        <v>10</v>
      </c>
      <c r="D39" s="100">
        <f>'PROJECT REPORT '!H102</f>
        <v>0</v>
      </c>
      <c r="E39" s="130">
        <f>E38*10/100/12*'PROJECT REPORT '!O62</f>
        <v>0</v>
      </c>
      <c r="F39" s="100">
        <f>E38-E39</f>
        <v>0</v>
      </c>
      <c r="H39" s="19"/>
    </row>
    <row r="40" spans="1:8" ht="15.5" hidden="1">
      <c r="A40" s="121"/>
      <c r="B40" s="131">
        <f>'PROJECT REPORT '!B95</f>
        <v>0</v>
      </c>
      <c r="C40" s="100"/>
      <c r="D40" s="100">
        <f>'PROJECT REPORT '!H95</f>
        <v>0</v>
      </c>
      <c r="E40" s="100">
        <f>D40</f>
        <v>0</v>
      </c>
      <c r="F40" s="121"/>
      <c r="H40" s="19"/>
    </row>
    <row r="41" spans="1:8" ht="15.5" hidden="1">
      <c r="A41" s="121"/>
      <c r="B41" s="100" t="s">
        <v>559</v>
      </c>
      <c r="C41" s="100">
        <v>10</v>
      </c>
      <c r="D41" s="121"/>
      <c r="E41" s="130">
        <f>E40*10/100/12*'PROJECT REPORT '!O62</f>
        <v>0</v>
      </c>
      <c r="F41" s="100">
        <f>E40-E41</f>
        <v>0</v>
      </c>
      <c r="H41" s="19"/>
    </row>
    <row r="42" spans="1:8" ht="15.5" hidden="1">
      <c r="A42" s="121"/>
      <c r="B42" s="129">
        <f>'PROJECT REPORT '!B96</f>
        <v>0</v>
      </c>
      <c r="C42" s="100"/>
      <c r="D42" s="100">
        <f>'PROJECT REPORT '!H96</f>
        <v>0</v>
      </c>
      <c r="E42" s="100">
        <f>D42</f>
        <v>0</v>
      </c>
      <c r="F42" s="121"/>
      <c r="H42" s="19"/>
    </row>
    <row r="43" spans="1:8" ht="15.5" hidden="1">
      <c r="A43" s="121"/>
      <c r="B43" s="100" t="s">
        <v>559</v>
      </c>
      <c r="C43" s="100">
        <v>10</v>
      </c>
      <c r="D43" s="100"/>
      <c r="E43" s="130">
        <f>E42*10/100/12*'PROJECT REPORT '!O62</f>
        <v>0</v>
      </c>
      <c r="F43" s="100">
        <f>E42-E43</f>
        <v>0</v>
      </c>
      <c r="H43" s="19"/>
    </row>
    <row r="44" spans="1:8" ht="15.5" hidden="1">
      <c r="A44" s="121"/>
      <c r="B44" s="129">
        <f>'PROJECT REPORT '!B97</f>
        <v>0</v>
      </c>
      <c r="C44" s="100"/>
      <c r="D44" s="100">
        <f>'PROJECT REPORT '!H97</f>
        <v>0</v>
      </c>
      <c r="E44" s="100">
        <f>D44</f>
        <v>0</v>
      </c>
      <c r="F44" s="121"/>
      <c r="H44" s="19"/>
    </row>
    <row r="45" spans="1:8" ht="15.5" hidden="1">
      <c r="A45" s="121"/>
      <c r="B45" s="100" t="s">
        <v>559</v>
      </c>
      <c r="C45" s="100">
        <v>10</v>
      </c>
      <c r="D45" s="100"/>
      <c r="E45" s="130">
        <f>E44*10/100/12*'PROJECT REPORT '!O62</f>
        <v>0</v>
      </c>
      <c r="F45" s="100">
        <f>E44-E45</f>
        <v>0</v>
      </c>
      <c r="H45" s="19"/>
    </row>
    <row r="46" spans="1:8" ht="15.5" hidden="1">
      <c r="A46" s="121"/>
      <c r="B46" s="129">
        <f>'PROJECT REPORT '!B98</f>
        <v>0</v>
      </c>
      <c r="C46" s="100"/>
      <c r="D46" s="100">
        <f>'PROJECT REPORT '!H98</f>
        <v>0</v>
      </c>
      <c r="E46" s="100">
        <f>D46</f>
        <v>0</v>
      </c>
      <c r="F46" s="100"/>
      <c r="H46" s="19"/>
    </row>
    <row r="47" spans="1:8" ht="15.5" hidden="1">
      <c r="A47" s="121"/>
      <c r="B47" s="100" t="s">
        <v>559</v>
      </c>
      <c r="C47" s="100">
        <v>10</v>
      </c>
      <c r="D47" s="121"/>
      <c r="E47" s="130">
        <f>E46*10/100/12*'PROJECT REPORT '!O62</f>
        <v>0</v>
      </c>
      <c r="F47" s="100">
        <f>E46-E47</f>
        <v>0</v>
      </c>
      <c r="H47" s="19"/>
    </row>
    <row r="48" spans="1:8" ht="15.5" hidden="1">
      <c r="A48" s="121"/>
      <c r="B48" s="131">
        <f>'PROJECT REPORT '!B99</f>
        <v>0</v>
      </c>
      <c r="C48" s="100"/>
      <c r="D48" s="100">
        <f>'PROJECT REPORT '!H99</f>
        <v>0</v>
      </c>
      <c r="E48" s="100">
        <f>D48</f>
        <v>0</v>
      </c>
      <c r="F48" s="100"/>
      <c r="H48" s="19"/>
    </row>
    <row r="49" spans="1:8" ht="15.5" hidden="1">
      <c r="A49" s="121"/>
      <c r="B49" s="100" t="s">
        <v>559</v>
      </c>
      <c r="C49" s="100">
        <v>10</v>
      </c>
      <c r="D49" s="100"/>
      <c r="E49" s="130">
        <f>E48*10/100/12*'PROJECT REPORT '!O62</f>
        <v>0</v>
      </c>
      <c r="F49" s="100">
        <f>E48-E49</f>
        <v>0</v>
      </c>
      <c r="H49" s="19"/>
    </row>
    <row r="50" spans="1:8" ht="15.5" hidden="1">
      <c r="A50" s="121"/>
      <c r="B50" s="129">
        <f>'PROJECT REPORT '!B100</f>
        <v>0</v>
      </c>
      <c r="C50" s="100"/>
      <c r="D50" s="100">
        <f>'PROJECT REPORT '!H100</f>
        <v>0</v>
      </c>
      <c r="E50" s="100">
        <f>D50</f>
        <v>0</v>
      </c>
      <c r="F50" s="100"/>
      <c r="H50" s="19"/>
    </row>
    <row r="51" spans="1:8" ht="15.5" hidden="1">
      <c r="A51" s="121"/>
      <c r="B51" s="100" t="s">
        <v>559</v>
      </c>
      <c r="C51" s="100">
        <v>10</v>
      </c>
      <c r="D51" s="100"/>
      <c r="E51" s="130">
        <f>E50*10/100/12*'PROJECT REPORT '!O62</f>
        <v>0</v>
      </c>
      <c r="F51" s="100">
        <f>E50-E51</f>
        <v>0</v>
      </c>
      <c r="H51" s="19"/>
    </row>
    <row r="52" spans="1:8" ht="15.5" hidden="1">
      <c r="A52" s="121"/>
      <c r="B52" s="129">
        <f>'PROJECT REPORT '!B101</f>
        <v>0</v>
      </c>
      <c r="C52" s="100"/>
      <c r="D52" s="100">
        <f>'PROJECT REPORT '!H101</f>
        <v>0</v>
      </c>
      <c r="E52" s="100">
        <f>D52</f>
        <v>0</v>
      </c>
      <c r="F52" s="100"/>
      <c r="H52" s="19"/>
    </row>
    <row r="53" spans="1:8" ht="15.5" hidden="1">
      <c r="A53" s="121"/>
      <c r="B53" s="100" t="s">
        <v>559</v>
      </c>
      <c r="C53" s="100">
        <v>10</v>
      </c>
      <c r="D53" s="121"/>
      <c r="E53" s="130">
        <f>E52*10/100/12*'PROJECT REPORT '!O62</f>
        <v>0</v>
      </c>
      <c r="F53" s="100">
        <f>E52-E53</f>
        <v>0</v>
      </c>
      <c r="H53" s="19"/>
    </row>
    <row r="54" spans="1:8" ht="15.5" hidden="1">
      <c r="A54" s="121"/>
      <c r="B54" s="129">
        <f>'PROJECT REPORT '!B102</f>
        <v>0</v>
      </c>
      <c r="C54" s="100"/>
      <c r="D54" s="100">
        <f>'PROJECT REPORT '!H102</f>
        <v>0</v>
      </c>
      <c r="E54" s="100">
        <f>D54</f>
        <v>0</v>
      </c>
      <c r="F54" s="100"/>
      <c r="H54" s="19"/>
    </row>
    <row r="55" spans="1:8" ht="15.5" hidden="1">
      <c r="A55" s="121"/>
      <c r="B55" s="100" t="s">
        <v>560</v>
      </c>
      <c r="C55" s="100">
        <v>10</v>
      </c>
      <c r="D55" s="121"/>
      <c r="E55" s="130">
        <f>E54*10/100/12*'PROJECT REPORT '!O62</f>
        <v>0</v>
      </c>
      <c r="F55" s="100">
        <f>E54-E55</f>
        <v>0</v>
      </c>
      <c r="H55" s="19"/>
    </row>
    <row r="56" spans="1:8" ht="15.5" hidden="1">
      <c r="A56" s="121"/>
      <c r="B56" s="131">
        <f>'PROJECT REPORT '!B103</f>
        <v>0</v>
      </c>
      <c r="C56" s="100"/>
      <c r="D56" s="100">
        <f>'PROJECT REPORT '!H103</f>
        <v>0</v>
      </c>
      <c r="E56" s="100">
        <f>D56</f>
        <v>0</v>
      </c>
      <c r="F56" s="100"/>
    </row>
    <row r="57" spans="1:8" ht="15.5" hidden="1">
      <c r="A57" s="121"/>
      <c r="B57" s="100" t="s">
        <v>560</v>
      </c>
      <c r="C57" s="100">
        <v>10</v>
      </c>
      <c r="D57" s="121"/>
      <c r="E57" s="130">
        <f>E56*10/100/12*'PROJECT REPORT '!O62</f>
        <v>0</v>
      </c>
      <c r="F57" s="100">
        <f>E56-E57</f>
        <v>0</v>
      </c>
    </row>
    <row r="58" spans="1:8" ht="15.5" hidden="1">
      <c r="A58" s="121"/>
      <c r="B58" s="129">
        <f>'PROJECT REPORT '!B104</f>
        <v>0</v>
      </c>
      <c r="C58" s="100"/>
      <c r="D58" s="100">
        <f>'PROJECT REPORT '!H104</f>
        <v>0</v>
      </c>
      <c r="E58" s="100">
        <f>D58</f>
        <v>0</v>
      </c>
      <c r="F58" s="100"/>
    </row>
    <row r="59" spans="1:8" ht="15.5" hidden="1">
      <c r="A59" s="121"/>
      <c r="B59" s="100" t="s">
        <v>560</v>
      </c>
      <c r="C59" s="100">
        <v>10</v>
      </c>
      <c r="D59" s="121"/>
      <c r="E59" s="130">
        <f>E58*10/100/12*'PROJECT REPORT '!O62</f>
        <v>0</v>
      </c>
      <c r="F59" s="100">
        <f>E58-E59</f>
        <v>0</v>
      </c>
    </row>
    <row r="60" spans="1:8" ht="15.5" hidden="1">
      <c r="A60" s="121"/>
      <c r="B60" s="129"/>
      <c r="C60" s="100"/>
      <c r="D60" s="100"/>
      <c r="E60" s="100"/>
      <c r="F60" s="100"/>
    </row>
    <row r="61" spans="1:8" ht="15.5" hidden="1">
      <c r="A61" s="121"/>
      <c r="B61" s="123"/>
      <c r="C61" s="100"/>
      <c r="D61" s="121"/>
      <c r="E61" s="130"/>
      <c r="F61" s="100"/>
    </row>
    <row r="62" spans="1:8" ht="15.5" hidden="1">
      <c r="A62" s="121"/>
      <c r="B62" s="100"/>
      <c r="C62" s="100"/>
      <c r="D62" s="121"/>
      <c r="E62" s="100"/>
      <c r="F62" s="100"/>
    </row>
    <row r="63" spans="1:8" ht="15.5" hidden="1">
      <c r="A63" s="121"/>
      <c r="B63" s="123"/>
      <c r="C63" s="100"/>
      <c r="D63" s="121"/>
      <c r="E63" s="100"/>
      <c r="F63" s="100"/>
    </row>
    <row r="64" spans="1:8" ht="15.5" hidden="1">
      <c r="A64" s="121"/>
      <c r="B64" s="100"/>
      <c r="C64" s="100"/>
      <c r="D64" s="121"/>
      <c r="E64" s="100"/>
      <c r="F64" s="100"/>
    </row>
    <row r="65" spans="1:6" ht="15.5" hidden="1">
      <c r="A65" s="121"/>
      <c r="B65" s="123"/>
      <c r="C65" s="100"/>
      <c r="D65" s="121"/>
      <c r="E65" s="100"/>
      <c r="F65" s="100"/>
    </row>
    <row r="66" spans="1:6" ht="15.5" hidden="1">
      <c r="A66" s="121"/>
      <c r="B66" s="100"/>
      <c r="C66" s="100"/>
      <c r="D66" s="121"/>
      <c r="E66" s="100"/>
      <c r="F66" s="100"/>
    </row>
    <row r="67" spans="1:6" ht="15.5">
      <c r="A67" s="121"/>
      <c r="B67" s="134"/>
      <c r="C67" s="135" t="s">
        <v>263</v>
      </c>
      <c r="D67" s="136">
        <f>SUM(D22:D60)</f>
        <v>270000</v>
      </c>
      <c r="E67" s="136">
        <f>E23+E25+E27+E29+E31+E33+E35+E37+E39+E41+E43+E45+E47+E49+E51+E53+E55+E5+E57+E59+E61</f>
        <v>18000</v>
      </c>
      <c r="F67" s="136">
        <f>SUM(F22:F61)</f>
        <v>252000</v>
      </c>
    </row>
    <row r="68" spans="1:6" ht="21" customHeight="1">
      <c r="A68" s="121"/>
      <c r="B68" s="100"/>
      <c r="C68" s="100"/>
      <c r="D68" s="123"/>
      <c r="E68" s="123"/>
      <c r="F68" s="123"/>
    </row>
    <row r="69" spans="1:6" ht="21" customHeight="1">
      <c r="A69" s="121"/>
      <c r="B69" s="100"/>
      <c r="C69" s="100"/>
      <c r="D69" s="123"/>
      <c r="E69" s="123"/>
      <c r="F69" s="123"/>
    </row>
    <row r="70" spans="1:6" ht="21" customHeight="1">
      <c r="A70" s="121"/>
      <c r="B70" s="100"/>
      <c r="C70" s="100"/>
      <c r="D70" s="123"/>
      <c r="E70" s="123"/>
      <c r="F70" s="123"/>
    </row>
    <row r="71" spans="1:6" ht="21" hidden="1" customHeight="1">
      <c r="A71" s="121"/>
      <c r="B71" s="100"/>
      <c r="C71" s="100"/>
      <c r="D71" s="123"/>
      <c r="E71" s="123"/>
      <c r="F71" s="123"/>
    </row>
    <row r="72" spans="1:6" ht="21" hidden="1" customHeight="1">
      <c r="A72" s="121"/>
      <c r="B72" s="100"/>
      <c r="C72" s="100"/>
      <c r="D72" s="123"/>
      <c r="E72" s="123"/>
      <c r="F72" s="123"/>
    </row>
    <row r="73" spans="1:6" ht="21" hidden="1" customHeight="1">
      <c r="A73" s="121"/>
      <c r="B73" s="100"/>
      <c r="C73" s="100"/>
      <c r="D73" s="123"/>
      <c r="E73" s="123"/>
      <c r="F73" s="123"/>
    </row>
    <row r="74" spans="1:6" ht="21" hidden="1" customHeight="1">
      <c r="A74" s="121"/>
      <c r="B74" s="100"/>
      <c r="C74" s="100"/>
      <c r="D74" s="123"/>
      <c r="E74" s="123"/>
      <c r="F74" s="123"/>
    </row>
    <row r="75" spans="1:6" ht="21" hidden="1" customHeight="1">
      <c r="A75" s="121"/>
      <c r="B75" s="100"/>
      <c r="C75" s="100"/>
      <c r="D75" s="123"/>
      <c r="E75" s="123"/>
      <c r="F75" s="123"/>
    </row>
    <row r="76" spans="1:6" ht="21" hidden="1" customHeight="1">
      <c r="A76" s="121"/>
      <c r="B76" s="100"/>
      <c r="C76" s="100"/>
      <c r="D76" s="123"/>
      <c r="E76" s="123"/>
      <c r="F76" s="123"/>
    </row>
    <row r="77" spans="1:6" ht="21" hidden="1" customHeight="1">
      <c r="A77" s="121"/>
      <c r="B77" s="100"/>
      <c r="C77" s="100"/>
      <c r="D77" s="123"/>
      <c r="E77" s="123"/>
      <c r="F77" s="123"/>
    </row>
    <row r="78" spans="1:6" ht="21" hidden="1" customHeight="1">
      <c r="A78" s="121"/>
      <c r="B78" s="100"/>
      <c r="C78" s="100"/>
      <c r="D78" s="123"/>
      <c r="E78" s="123"/>
      <c r="F78" s="123"/>
    </row>
    <row r="79" spans="1:6" ht="21" hidden="1" customHeight="1">
      <c r="A79" s="121"/>
      <c r="B79" s="100"/>
      <c r="C79" s="100"/>
      <c r="D79" s="123"/>
      <c r="E79" s="123"/>
      <c r="F79" s="123"/>
    </row>
    <row r="80" spans="1:6" ht="21" hidden="1" customHeight="1">
      <c r="A80" s="121"/>
      <c r="B80" s="100"/>
      <c r="C80" s="100"/>
      <c r="D80" s="123"/>
      <c r="E80" s="123"/>
      <c r="F80" s="123"/>
    </row>
    <row r="81" spans="1:6" ht="21" hidden="1" customHeight="1">
      <c r="A81" s="121"/>
      <c r="B81" s="100"/>
      <c r="C81" s="100"/>
      <c r="D81" s="123"/>
      <c r="E81" s="123"/>
      <c r="F81" s="123"/>
    </row>
    <row r="82" spans="1:6" ht="21" hidden="1" customHeight="1">
      <c r="A82" s="121"/>
      <c r="B82" s="100"/>
      <c r="C82" s="100"/>
      <c r="D82" s="123"/>
      <c r="E82" s="123"/>
      <c r="F82" s="123"/>
    </row>
    <row r="83" spans="1:6" ht="21" hidden="1" customHeight="1">
      <c r="A83" s="121"/>
      <c r="B83" s="100"/>
      <c r="C83" s="100"/>
      <c r="D83" s="123"/>
      <c r="E83" s="123"/>
      <c r="F83" s="123"/>
    </row>
    <row r="84" spans="1:6" ht="21" hidden="1" customHeight="1">
      <c r="A84" s="121"/>
      <c r="B84" s="100"/>
      <c r="C84" s="100"/>
      <c r="D84" s="123"/>
      <c r="E84" s="123"/>
      <c r="F84" s="123"/>
    </row>
    <row r="85" spans="1:6" ht="21" hidden="1" customHeight="1">
      <c r="A85" s="121"/>
      <c r="B85" s="100"/>
      <c r="C85" s="100"/>
      <c r="D85" s="123"/>
      <c r="E85" s="123"/>
      <c r="F85" s="123"/>
    </row>
    <row r="86" spans="1:6" ht="21" hidden="1" customHeight="1">
      <c r="A86" s="121"/>
      <c r="B86" s="100"/>
      <c r="C86" s="100"/>
      <c r="D86" s="123"/>
      <c r="E86" s="123"/>
      <c r="F86" s="123"/>
    </row>
    <row r="87" spans="1:6" ht="21" hidden="1" customHeight="1">
      <c r="A87" s="121"/>
      <c r="B87" s="100"/>
      <c r="C87" s="100"/>
      <c r="D87" s="123"/>
      <c r="E87" s="123"/>
      <c r="F87" s="123"/>
    </row>
    <row r="88" spans="1:6" ht="21" hidden="1" customHeight="1">
      <c r="A88" s="121"/>
      <c r="B88" s="100"/>
      <c r="C88" s="100"/>
      <c r="D88" s="123"/>
      <c r="E88" s="123"/>
      <c r="F88" s="123"/>
    </row>
    <row r="89" spans="1:6" ht="21" hidden="1" customHeight="1">
      <c r="A89" s="121"/>
      <c r="B89" s="100"/>
      <c r="C89" s="100"/>
      <c r="D89" s="123"/>
      <c r="E89" s="123"/>
      <c r="F89" s="123"/>
    </row>
    <row r="90" spans="1:6" ht="21" hidden="1" customHeight="1">
      <c r="A90" s="121"/>
      <c r="B90" s="100"/>
      <c r="C90" s="100"/>
      <c r="D90" s="123"/>
      <c r="E90" s="123"/>
      <c r="F90" s="123"/>
    </row>
    <row r="91" spans="1:6" ht="21" hidden="1" customHeight="1">
      <c r="A91" s="121"/>
      <c r="B91" s="100"/>
      <c r="C91" s="100"/>
      <c r="D91" s="123"/>
      <c r="E91" s="123"/>
      <c r="F91" s="123"/>
    </row>
    <row r="92" spans="1:6" ht="21" customHeight="1">
      <c r="A92" s="121"/>
      <c r="B92" s="100"/>
      <c r="C92" s="100"/>
      <c r="D92" s="123"/>
      <c r="E92" s="123"/>
      <c r="F92" s="123"/>
    </row>
    <row r="93" spans="1:6" ht="21" customHeight="1">
      <c r="A93" s="121"/>
      <c r="B93" s="100"/>
      <c r="C93" s="100"/>
      <c r="D93" s="123"/>
      <c r="E93" s="123"/>
      <c r="F93" s="123"/>
    </row>
    <row r="94" spans="1:6" ht="21" customHeight="1">
      <c r="A94" s="121"/>
      <c r="B94" s="100"/>
      <c r="C94" s="100"/>
      <c r="D94" s="123"/>
      <c r="E94" s="123"/>
      <c r="F94" s="123"/>
    </row>
    <row r="95" spans="1:6" ht="21" customHeight="1">
      <c r="A95" s="121"/>
      <c r="B95" s="100"/>
      <c r="C95" s="100"/>
      <c r="D95" s="123"/>
      <c r="E95" s="123"/>
      <c r="F95" s="123"/>
    </row>
    <row r="96" spans="1:6" ht="21" customHeight="1">
      <c r="A96" s="121"/>
      <c r="B96" s="100"/>
      <c r="C96" s="100"/>
      <c r="D96" s="123"/>
      <c r="E96" s="123"/>
      <c r="F96" s="123"/>
    </row>
    <row r="97" spans="1:6" ht="21" customHeight="1">
      <c r="A97" s="121"/>
      <c r="B97" s="100"/>
      <c r="C97" s="100"/>
      <c r="D97" s="123"/>
      <c r="E97" s="123"/>
      <c r="F97" s="123"/>
    </row>
    <row r="98" spans="1:6" ht="21" customHeight="1">
      <c r="A98" s="121"/>
      <c r="B98" s="100"/>
      <c r="C98" s="100"/>
      <c r="D98" s="123"/>
      <c r="E98" s="123"/>
      <c r="F98" s="123"/>
    </row>
    <row r="99" spans="1:6" ht="21" customHeight="1">
      <c r="A99" s="121"/>
      <c r="B99" s="100"/>
      <c r="C99" s="100"/>
      <c r="D99" s="123"/>
      <c r="E99" s="123"/>
      <c r="F99" s="123"/>
    </row>
    <row r="100" spans="1:6" ht="21" customHeight="1">
      <c r="A100" s="121"/>
      <c r="B100" s="100"/>
      <c r="C100" s="100"/>
      <c r="D100" s="123"/>
      <c r="E100" s="123"/>
      <c r="F100" s="123"/>
    </row>
    <row r="101" spans="1:6" ht="21" customHeight="1">
      <c r="A101" s="121"/>
      <c r="B101" s="100"/>
      <c r="C101" s="100"/>
      <c r="D101" s="123"/>
      <c r="E101" s="123"/>
      <c r="F101" s="123"/>
    </row>
    <row r="102" spans="1:6" ht="21" customHeight="1">
      <c r="A102" s="121"/>
      <c r="B102" s="100"/>
      <c r="C102" s="100"/>
      <c r="D102" s="123"/>
      <c r="E102" s="123"/>
      <c r="F102" s="123"/>
    </row>
    <row r="103" spans="1:6" ht="21" customHeight="1">
      <c r="A103" s="121"/>
      <c r="B103" s="100"/>
      <c r="C103" s="100"/>
      <c r="D103" s="123"/>
      <c r="E103" s="123"/>
      <c r="F103" s="123"/>
    </row>
    <row r="104" spans="1:6" ht="21" customHeight="1">
      <c r="A104" s="121"/>
      <c r="B104" s="100"/>
      <c r="C104" s="100"/>
      <c r="D104" s="123"/>
      <c r="E104" s="123"/>
      <c r="F104" s="123"/>
    </row>
    <row r="105" spans="1:6" ht="21" customHeight="1">
      <c r="A105" s="121"/>
      <c r="B105" s="100"/>
      <c r="C105" s="100"/>
      <c r="D105" s="123"/>
      <c r="E105" s="123"/>
      <c r="F105" s="123"/>
    </row>
    <row r="106" spans="1:6" ht="21" customHeight="1">
      <c r="A106" s="121"/>
      <c r="B106" s="100"/>
      <c r="C106" s="100"/>
      <c r="D106" s="123"/>
      <c r="E106" s="123"/>
      <c r="F106" s="123"/>
    </row>
    <row r="107" spans="1:6" ht="21" customHeight="1">
      <c r="A107" s="121"/>
      <c r="B107" s="100"/>
      <c r="C107" s="100"/>
      <c r="D107" s="123"/>
      <c r="E107" s="123"/>
      <c r="F107" s="123"/>
    </row>
    <row r="108" spans="1:6" ht="21" customHeight="1">
      <c r="A108" s="121"/>
      <c r="B108" s="100"/>
      <c r="C108" s="100"/>
      <c r="D108" s="123"/>
      <c r="E108" s="123"/>
      <c r="F108" s="123"/>
    </row>
    <row r="109" spans="1:6" ht="21" customHeight="1">
      <c r="A109" s="121"/>
      <c r="B109" s="100"/>
      <c r="C109" s="100"/>
      <c r="D109" s="123"/>
      <c r="E109" s="123"/>
      <c r="F109" s="123"/>
    </row>
    <row r="110" spans="1:6" ht="21" hidden="1" customHeight="1">
      <c r="A110" s="121"/>
      <c r="B110" s="100"/>
      <c r="C110" s="100"/>
      <c r="D110" s="123"/>
      <c r="E110" s="123"/>
      <c r="F110" s="123"/>
    </row>
    <row r="111" spans="1:6" ht="21" hidden="1" customHeight="1">
      <c r="A111" s="121"/>
      <c r="B111" s="100"/>
      <c r="C111" s="100"/>
      <c r="D111" s="123"/>
      <c r="E111" s="123"/>
      <c r="F111" s="123"/>
    </row>
    <row r="112" spans="1:6" ht="21" hidden="1" customHeight="1">
      <c r="A112" s="121"/>
      <c r="B112" s="100"/>
      <c r="C112" s="100"/>
      <c r="D112" s="123"/>
      <c r="E112" s="123"/>
      <c r="F112" s="123"/>
    </row>
    <row r="113" spans="1:6" ht="21" hidden="1" customHeight="1">
      <c r="A113" s="121"/>
      <c r="B113" s="100"/>
      <c r="C113" s="100"/>
      <c r="D113" s="123"/>
      <c r="E113" s="123"/>
      <c r="F113" s="123"/>
    </row>
    <row r="114" spans="1:6" ht="21" hidden="1" customHeight="1">
      <c r="A114" s="121"/>
      <c r="B114" s="100"/>
      <c r="C114" s="100"/>
      <c r="D114" s="123"/>
      <c r="E114" s="123"/>
      <c r="F114" s="123"/>
    </row>
    <row r="115" spans="1:6" ht="21" hidden="1" customHeight="1">
      <c r="A115" s="121"/>
      <c r="B115" s="100"/>
      <c r="C115" s="100"/>
      <c r="D115" s="123"/>
      <c r="E115" s="123"/>
      <c r="F115" s="123"/>
    </row>
    <row r="116" spans="1:6" ht="21" hidden="1" customHeight="1">
      <c r="A116" s="121"/>
      <c r="B116" s="100"/>
      <c r="C116" s="100"/>
      <c r="D116" s="123"/>
      <c r="E116" s="123"/>
      <c r="F116" s="123"/>
    </row>
    <row r="117" spans="1:6" ht="21" hidden="1" customHeight="1">
      <c r="A117" s="121"/>
      <c r="B117" s="100"/>
      <c r="C117" s="100"/>
      <c r="D117" s="123"/>
      <c r="E117" s="123"/>
      <c r="F117" s="123"/>
    </row>
    <row r="118" spans="1:6" ht="21" hidden="1" customHeight="1">
      <c r="A118" s="121"/>
      <c r="B118" s="100"/>
      <c r="C118" s="100"/>
      <c r="D118" s="123"/>
      <c r="E118" s="123"/>
      <c r="F118" s="123"/>
    </row>
    <row r="119" spans="1:6" ht="21" hidden="1" customHeight="1">
      <c r="A119" s="121"/>
      <c r="B119" s="100"/>
      <c r="C119" s="100"/>
      <c r="D119" s="123"/>
      <c r="E119" s="123"/>
      <c r="F119" s="123"/>
    </row>
    <row r="120" spans="1:6" ht="21" hidden="1" customHeight="1">
      <c r="A120" s="121"/>
      <c r="B120" s="100"/>
      <c r="C120" s="100"/>
      <c r="D120" s="123"/>
      <c r="E120" s="123"/>
      <c r="F120" s="123"/>
    </row>
    <row r="121" spans="1:6" ht="21" hidden="1" customHeight="1">
      <c r="A121" s="121"/>
      <c r="B121" s="100"/>
      <c r="C121" s="100"/>
      <c r="D121" s="123"/>
      <c r="E121" s="123"/>
      <c r="F121" s="123"/>
    </row>
    <row r="122" spans="1:6" ht="21" hidden="1" customHeight="1">
      <c r="A122" s="121"/>
      <c r="B122" s="100"/>
      <c r="C122" s="100"/>
      <c r="D122" s="123"/>
      <c r="E122" s="123"/>
      <c r="F122" s="123"/>
    </row>
    <row r="123" spans="1:6" ht="21" hidden="1" customHeight="1">
      <c r="A123" s="121"/>
      <c r="B123" s="100"/>
      <c r="C123" s="100"/>
      <c r="D123" s="123"/>
      <c r="E123" s="123"/>
      <c r="F123" s="123"/>
    </row>
    <row r="124" spans="1:6" ht="21" hidden="1" customHeight="1">
      <c r="A124" s="121"/>
      <c r="B124" s="100"/>
      <c r="C124" s="100"/>
      <c r="D124" s="123"/>
      <c r="E124" s="123"/>
      <c r="F124" s="123"/>
    </row>
    <row r="125" spans="1:6" ht="21" hidden="1" customHeight="1">
      <c r="A125" s="121"/>
      <c r="B125" s="100"/>
      <c r="C125" s="100"/>
      <c r="D125" s="123"/>
      <c r="E125" s="123"/>
      <c r="F125" s="123"/>
    </row>
    <row r="126" spans="1:6" ht="21" hidden="1" customHeight="1">
      <c r="A126" s="121"/>
      <c r="B126" s="100"/>
      <c r="C126" s="100"/>
      <c r="D126" s="123"/>
      <c r="E126" s="123"/>
      <c r="F126" s="123"/>
    </row>
    <row r="127" spans="1:6" ht="21" hidden="1" customHeight="1">
      <c r="A127" s="121"/>
      <c r="B127" s="100"/>
      <c r="C127" s="100"/>
      <c r="D127" s="123"/>
      <c r="E127" s="123"/>
      <c r="F127" s="123"/>
    </row>
    <row r="128" spans="1:6" ht="21" hidden="1" customHeight="1">
      <c r="A128" s="121"/>
      <c r="B128" s="100"/>
      <c r="C128" s="100"/>
      <c r="D128" s="123"/>
      <c r="E128" s="123"/>
      <c r="F128" s="123"/>
    </row>
    <row r="129" spans="1:6" ht="21" hidden="1" customHeight="1">
      <c r="A129" s="121"/>
      <c r="B129" s="100"/>
      <c r="C129" s="100"/>
      <c r="D129" s="123"/>
      <c r="E129" s="123"/>
      <c r="F129" s="123"/>
    </row>
    <row r="130" spans="1:6" ht="21" hidden="1" customHeight="1">
      <c r="A130" s="121"/>
      <c r="B130" s="100"/>
      <c r="C130" s="100"/>
      <c r="D130" s="123"/>
      <c r="E130" s="123"/>
      <c r="F130" s="123"/>
    </row>
    <row r="131" spans="1:6" ht="21" hidden="1" customHeight="1">
      <c r="A131" s="121"/>
      <c r="B131" s="100"/>
      <c r="C131" s="100"/>
      <c r="D131" s="123"/>
      <c r="E131" s="123"/>
      <c r="F131" s="123"/>
    </row>
    <row r="132" spans="1:6" ht="21" hidden="1" customHeight="1">
      <c r="A132" s="121"/>
      <c r="B132" s="100"/>
      <c r="C132" s="100"/>
      <c r="D132" s="123"/>
      <c r="E132" s="123"/>
      <c r="F132" s="123"/>
    </row>
    <row r="133" spans="1:6" ht="21" hidden="1" customHeight="1">
      <c r="A133" s="121"/>
      <c r="B133" s="100"/>
      <c r="C133" s="100"/>
      <c r="D133" s="123"/>
      <c r="E133" s="123"/>
      <c r="F133" s="123"/>
    </row>
    <row r="134" spans="1:6" ht="21" hidden="1" customHeight="1">
      <c r="A134" s="121"/>
      <c r="B134" s="100"/>
      <c r="C134" s="100"/>
      <c r="D134" s="123"/>
      <c r="E134" s="123"/>
      <c r="F134" s="123"/>
    </row>
    <row r="135" spans="1:6" ht="21" hidden="1" customHeight="1">
      <c r="A135" s="121"/>
      <c r="B135" s="100"/>
      <c r="C135" s="100"/>
      <c r="D135" s="123"/>
      <c r="E135" s="123"/>
      <c r="F135" s="123"/>
    </row>
    <row r="136" spans="1:6" ht="21" hidden="1" customHeight="1">
      <c r="A136" s="121"/>
      <c r="B136" s="100"/>
      <c r="C136" s="100"/>
      <c r="D136" s="123"/>
      <c r="E136" s="123"/>
      <c r="F136" s="123"/>
    </row>
    <row r="137" spans="1:6" ht="21" hidden="1" customHeight="1">
      <c r="A137" s="121"/>
      <c r="B137" s="100"/>
      <c r="C137" s="100"/>
      <c r="D137" s="123"/>
      <c r="E137" s="123"/>
      <c r="F137" s="123"/>
    </row>
    <row r="138" spans="1:6" ht="21" hidden="1" customHeight="1">
      <c r="A138" s="121"/>
      <c r="B138" s="100"/>
      <c r="C138" s="100"/>
      <c r="D138" s="123"/>
      <c r="E138" s="123"/>
      <c r="F138" s="123"/>
    </row>
    <row r="139" spans="1:6" ht="21" hidden="1" customHeight="1">
      <c r="A139" s="121"/>
      <c r="B139" s="100"/>
      <c r="C139" s="100"/>
      <c r="D139" s="123"/>
      <c r="E139" s="123"/>
      <c r="F139" s="123"/>
    </row>
    <row r="140" spans="1:6" ht="21" hidden="1" customHeight="1">
      <c r="A140" s="121"/>
      <c r="B140" s="100"/>
      <c r="C140" s="100"/>
      <c r="D140" s="123"/>
      <c r="E140" s="123"/>
      <c r="F140" s="123"/>
    </row>
    <row r="141" spans="1:6" ht="21" hidden="1" customHeight="1">
      <c r="A141" s="121"/>
      <c r="B141" s="100"/>
      <c r="C141" s="100"/>
      <c r="D141" s="123"/>
      <c r="E141" s="123"/>
      <c r="F141" s="123"/>
    </row>
    <row r="142" spans="1:6" ht="21" hidden="1" customHeight="1">
      <c r="A142" s="121"/>
      <c r="B142" s="100"/>
      <c r="C142" s="100"/>
      <c r="D142" s="123"/>
      <c r="E142" s="123"/>
      <c r="F142" s="123"/>
    </row>
    <row r="143" spans="1:6" ht="21" hidden="1" customHeight="1">
      <c r="A143" s="121"/>
      <c r="B143" s="100"/>
      <c r="C143" s="100"/>
      <c r="D143" s="123"/>
      <c r="E143" s="123"/>
      <c r="F143" s="123"/>
    </row>
    <row r="144" spans="1:6" ht="21" hidden="1" customHeight="1">
      <c r="A144" s="121"/>
      <c r="B144" s="100"/>
      <c r="C144" s="100"/>
      <c r="D144" s="123"/>
      <c r="E144" s="123"/>
      <c r="F144" s="123"/>
    </row>
    <row r="145" spans="1:6" ht="21" hidden="1" customHeight="1">
      <c r="A145" s="121"/>
      <c r="B145" s="100"/>
      <c r="C145" s="100"/>
      <c r="D145" s="123"/>
      <c r="E145" s="123"/>
      <c r="F145" s="123"/>
    </row>
    <row r="146" spans="1:6" ht="21" hidden="1" customHeight="1">
      <c r="A146" s="121"/>
      <c r="B146" s="100"/>
      <c r="C146" s="100"/>
      <c r="D146" s="123"/>
      <c r="E146" s="123"/>
      <c r="F146" s="123"/>
    </row>
    <row r="147" spans="1:6" ht="21" hidden="1" customHeight="1">
      <c r="A147" s="121"/>
      <c r="B147" s="100"/>
      <c r="C147" s="100"/>
      <c r="D147" s="123"/>
      <c r="E147" s="123"/>
      <c r="F147" s="123"/>
    </row>
    <row r="148" spans="1:6" ht="21" hidden="1" customHeight="1">
      <c r="A148" s="121"/>
      <c r="B148" s="100"/>
      <c r="C148" s="100"/>
      <c r="D148" s="123"/>
      <c r="E148" s="123"/>
      <c r="F148" s="123"/>
    </row>
    <row r="149" spans="1:6" ht="21" hidden="1" customHeight="1">
      <c r="A149" s="121"/>
      <c r="B149" s="100"/>
      <c r="C149" s="100"/>
      <c r="D149" s="123"/>
      <c r="E149" s="123"/>
      <c r="F149" s="123"/>
    </row>
    <row r="150" spans="1:6" ht="21" hidden="1" customHeight="1">
      <c r="A150" s="121"/>
      <c r="B150" s="100"/>
      <c r="C150" s="100"/>
      <c r="D150" s="123"/>
      <c r="E150" s="123"/>
      <c r="F150" s="123"/>
    </row>
    <row r="151" spans="1:6" ht="21" hidden="1" customHeight="1">
      <c r="A151" s="121"/>
      <c r="B151" s="100"/>
      <c r="C151" s="100"/>
      <c r="D151" s="123"/>
      <c r="E151" s="123"/>
      <c r="F151" s="123"/>
    </row>
    <row r="152" spans="1:6" ht="21" hidden="1" customHeight="1">
      <c r="A152" s="121"/>
      <c r="B152" s="100"/>
      <c r="C152" s="100"/>
      <c r="D152" s="123"/>
      <c r="E152" s="123"/>
      <c r="F152" s="123"/>
    </row>
    <row r="153" spans="1:6" ht="21" hidden="1" customHeight="1">
      <c r="A153" s="121"/>
      <c r="B153" s="100"/>
      <c r="C153" s="100"/>
      <c r="D153" s="123"/>
      <c r="E153" s="123"/>
      <c r="F153" s="123"/>
    </row>
    <row r="154" spans="1:6" ht="21" hidden="1" customHeight="1">
      <c r="A154" s="121"/>
      <c r="B154" s="100"/>
      <c r="C154" s="100"/>
      <c r="D154" s="123"/>
      <c r="E154" s="123"/>
      <c r="F154" s="123"/>
    </row>
    <row r="155" spans="1:6" ht="21" hidden="1" customHeight="1">
      <c r="A155" s="121"/>
      <c r="B155" s="100"/>
      <c r="C155" s="100"/>
      <c r="D155" s="123"/>
      <c r="E155" s="123"/>
      <c r="F155" s="123"/>
    </row>
    <row r="156" spans="1:6" ht="21" hidden="1" customHeight="1">
      <c r="A156" s="121"/>
      <c r="B156" s="100"/>
      <c r="C156" s="100"/>
      <c r="D156" s="123"/>
      <c r="E156" s="123"/>
      <c r="F156" s="123"/>
    </row>
    <row r="157" spans="1:6" ht="21" hidden="1" customHeight="1">
      <c r="A157" s="121"/>
      <c r="B157" s="100"/>
      <c r="C157" s="100"/>
      <c r="D157" s="123"/>
      <c r="E157" s="123"/>
      <c r="F157" s="123"/>
    </row>
    <row r="158" spans="1:6" ht="21" hidden="1" customHeight="1">
      <c r="A158" s="121"/>
      <c r="B158" s="100"/>
      <c r="C158" s="100"/>
      <c r="D158" s="123"/>
      <c r="E158" s="123"/>
      <c r="F158" s="123"/>
    </row>
    <row r="159" spans="1:6" ht="21" hidden="1" customHeight="1">
      <c r="A159" s="121"/>
      <c r="B159" s="100"/>
      <c r="C159" s="100"/>
      <c r="D159" s="123"/>
      <c r="E159" s="123"/>
      <c r="F159" s="123"/>
    </row>
    <row r="160" spans="1:6" ht="21" hidden="1" customHeight="1">
      <c r="A160" s="121"/>
      <c r="B160" s="100"/>
      <c r="C160" s="100"/>
      <c r="D160" s="123"/>
      <c r="E160" s="123"/>
      <c r="F160" s="123"/>
    </row>
    <row r="161" spans="1:6" ht="21" hidden="1" customHeight="1">
      <c r="A161" s="121"/>
      <c r="B161" s="100"/>
      <c r="C161" s="100"/>
      <c r="D161" s="123"/>
      <c r="E161" s="123"/>
      <c r="F161" s="123"/>
    </row>
    <row r="162" spans="1:6" ht="21" hidden="1" customHeight="1">
      <c r="A162" s="121"/>
      <c r="B162" s="100"/>
      <c r="C162" s="100"/>
      <c r="D162" s="123"/>
      <c r="E162" s="123"/>
      <c r="F162" s="123"/>
    </row>
    <row r="163" spans="1:6" ht="21" hidden="1" customHeight="1">
      <c r="A163" s="121"/>
      <c r="B163" s="100"/>
      <c r="C163" s="100"/>
      <c r="D163" s="123"/>
      <c r="E163" s="123"/>
      <c r="F163" s="123"/>
    </row>
    <row r="164" spans="1:6" ht="21" hidden="1" customHeight="1">
      <c r="A164" s="121"/>
      <c r="B164" s="100"/>
      <c r="C164" s="100"/>
      <c r="D164" s="123"/>
      <c r="E164" s="123"/>
      <c r="F164" s="123"/>
    </row>
    <row r="165" spans="1:6" ht="21" hidden="1" customHeight="1">
      <c r="A165" s="121"/>
      <c r="B165" s="100"/>
      <c r="C165" s="100"/>
      <c r="D165" s="123"/>
      <c r="E165" s="123"/>
      <c r="F165" s="123"/>
    </row>
    <row r="166" spans="1:6" ht="21" hidden="1" customHeight="1">
      <c r="A166" s="121"/>
      <c r="B166" s="100"/>
      <c r="C166" s="100"/>
      <c r="D166" s="123"/>
      <c r="E166" s="123"/>
      <c r="F166" s="123"/>
    </row>
    <row r="167" spans="1:6" ht="21" hidden="1" customHeight="1">
      <c r="A167" s="121"/>
      <c r="B167" s="100"/>
      <c r="C167" s="100"/>
      <c r="D167" s="123"/>
      <c r="E167" s="123"/>
      <c r="F167" s="123"/>
    </row>
    <row r="168" spans="1:6" ht="21" hidden="1" customHeight="1">
      <c r="A168" s="121"/>
      <c r="B168" s="100"/>
      <c r="C168" s="100"/>
      <c r="D168" s="123"/>
      <c r="E168" s="123"/>
      <c r="F168" s="123"/>
    </row>
    <row r="169" spans="1:6" ht="21" hidden="1" customHeight="1">
      <c r="A169" s="121"/>
      <c r="B169" s="100"/>
      <c r="C169" s="100"/>
      <c r="D169" s="123"/>
      <c r="E169" s="123"/>
      <c r="F169" s="123"/>
    </row>
    <row r="170" spans="1:6" ht="21" hidden="1" customHeight="1">
      <c r="A170" s="121"/>
      <c r="B170" s="100"/>
      <c r="C170" s="100"/>
      <c r="D170" s="123"/>
      <c r="E170" s="123"/>
      <c r="F170" s="123"/>
    </row>
    <row r="171" spans="1:6" ht="21" hidden="1" customHeight="1">
      <c r="A171" s="121"/>
      <c r="B171" s="100"/>
      <c r="C171" s="100"/>
      <c r="D171" s="123"/>
      <c r="E171" s="123"/>
      <c r="F171" s="123"/>
    </row>
    <row r="172" spans="1:6" ht="21" hidden="1" customHeight="1">
      <c r="A172" s="121"/>
      <c r="B172" s="100"/>
      <c r="C172" s="100"/>
      <c r="D172" s="123"/>
      <c r="E172" s="123"/>
      <c r="F172" s="123"/>
    </row>
    <row r="173" spans="1:6" ht="21" hidden="1" customHeight="1">
      <c r="A173" s="121"/>
      <c r="B173" s="100"/>
      <c r="C173" s="100"/>
      <c r="D173" s="123"/>
      <c r="E173" s="123"/>
      <c r="F173" s="123"/>
    </row>
    <row r="174" spans="1:6" ht="21" hidden="1" customHeight="1">
      <c r="A174" s="121"/>
      <c r="B174" s="100"/>
      <c r="C174" s="100"/>
      <c r="D174" s="123"/>
      <c r="E174" s="123"/>
      <c r="F174" s="123"/>
    </row>
    <row r="175" spans="1:6" ht="21" hidden="1" customHeight="1">
      <c r="A175" s="121"/>
      <c r="B175" s="100"/>
      <c r="C175" s="100"/>
      <c r="D175" s="123"/>
      <c r="E175" s="123"/>
      <c r="F175" s="123"/>
    </row>
    <row r="176" spans="1:6" ht="21" hidden="1" customHeight="1">
      <c r="A176" s="121"/>
      <c r="B176" s="100"/>
      <c r="C176" s="100"/>
      <c r="D176" s="123"/>
      <c r="E176" s="123"/>
      <c r="F176" s="123"/>
    </row>
    <row r="177" spans="1:6" ht="21" hidden="1" customHeight="1">
      <c r="A177" s="121"/>
      <c r="B177" s="100"/>
      <c r="C177" s="100"/>
      <c r="D177" s="123"/>
      <c r="E177" s="123"/>
      <c r="F177" s="123"/>
    </row>
    <row r="178" spans="1:6" ht="21" hidden="1" customHeight="1">
      <c r="A178" s="121"/>
      <c r="B178" s="100"/>
      <c r="C178" s="100"/>
      <c r="D178" s="123"/>
      <c r="E178" s="123"/>
      <c r="F178" s="123"/>
    </row>
    <row r="179" spans="1:6" ht="21" hidden="1" customHeight="1">
      <c r="A179" s="121"/>
      <c r="B179" s="100"/>
      <c r="C179" s="100"/>
      <c r="D179" s="123"/>
      <c r="E179" s="123"/>
      <c r="F179" s="123"/>
    </row>
    <row r="180" spans="1:6" ht="21" hidden="1" customHeight="1">
      <c r="A180" s="121"/>
      <c r="B180" s="100"/>
      <c r="C180" s="100"/>
      <c r="D180" s="123"/>
      <c r="E180" s="123"/>
      <c r="F180" s="123"/>
    </row>
    <row r="181" spans="1:6" ht="21" hidden="1" customHeight="1">
      <c r="A181" s="121"/>
      <c r="B181" s="100"/>
      <c r="C181" s="100"/>
      <c r="D181" s="123"/>
      <c r="E181" s="123"/>
      <c r="F181" s="123"/>
    </row>
    <row r="182" spans="1:6" ht="21" hidden="1" customHeight="1">
      <c r="A182" s="121"/>
      <c r="B182" s="100"/>
      <c r="C182" s="100"/>
      <c r="D182" s="123"/>
      <c r="E182" s="123"/>
      <c r="F182" s="123"/>
    </row>
    <row r="183" spans="1:6" ht="21" hidden="1" customHeight="1">
      <c r="A183" s="121"/>
      <c r="B183" s="100"/>
      <c r="C183" s="100"/>
      <c r="D183" s="123"/>
      <c r="E183" s="123"/>
      <c r="F183" s="123"/>
    </row>
    <row r="184" spans="1:6" ht="21" hidden="1" customHeight="1">
      <c r="A184" s="121"/>
      <c r="B184" s="100"/>
      <c r="C184" s="100"/>
      <c r="D184" s="123"/>
      <c r="E184" s="123"/>
      <c r="F184" s="123"/>
    </row>
    <row r="185" spans="1:6" ht="21" hidden="1" customHeight="1">
      <c r="A185" s="121"/>
      <c r="B185" s="100"/>
      <c r="C185" s="100"/>
      <c r="D185" s="123"/>
      <c r="E185" s="123"/>
      <c r="F185" s="123"/>
    </row>
    <row r="186" spans="1:6" ht="21" hidden="1" customHeight="1">
      <c r="A186" s="121"/>
      <c r="B186" s="100"/>
      <c r="C186" s="100"/>
      <c r="D186" s="123"/>
      <c r="E186" s="123"/>
      <c r="F186" s="123"/>
    </row>
    <row r="187" spans="1:6" ht="21" hidden="1" customHeight="1">
      <c r="A187" s="121"/>
      <c r="B187" s="100"/>
      <c r="C187" s="100"/>
      <c r="D187" s="123"/>
      <c r="E187" s="123"/>
      <c r="F187" s="123"/>
    </row>
    <row r="188" spans="1:6" ht="21" hidden="1" customHeight="1">
      <c r="A188" s="121"/>
      <c r="B188" s="100"/>
      <c r="C188" s="100"/>
      <c r="D188" s="123"/>
      <c r="E188" s="123"/>
      <c r="F188" s="123"/>
    </row>
    <row r="189" spans="1:6" ht="21" hidden="1" customHeight="1">
      <c r="A189" s="121"/>
      <c r="B189" s="100"/>
      <c r="C189" s="100"/>
      <c r="D189" s="123"/>
      <c r="E189" s="123"/>
      <c r="F189" s="123"/>
    </row>
    <row r="190" spans="1:6" ht="21" hidden="1" customHeight="1">
      <c r="A190" s="121"/>
      <c r="B190" s="100"/>
      <c r="C190" s="100"/>
      <c r="D190" s="123"/>
      <c r="E190" s="123"/>
      <c r="F190" s="123"/>
    </row>
    <row r="191" spans="1:6" ht="21" hidden="1" customHeight="1">
      <c r="A191" s="121"/>
      <c r="B191" s="100"/>
      <c r="C191" s="100"/>
      <c r="D191" s="123"/>
      <c r="E191" s="123"/>
      <c r="F191" s="123"/>
    </row>
    <row r="192" spans="1:6" ht="21" hidden="1" customHeight="1">
      <c r="A192" s="121"/>
      <c r="B192" s="100"/>
      <c r="C192" s="100"/>
      <c r="D192" s="123"/>
      <c r="E192" s="123"/>
      <c r="F192" s="123"/>
    </row>
    <row r="193" spans="1:6" ht="21" hidden="1" customHeight="1">
      <c r="A193" s="121"/>
      <c r="B193" s="100"/>
      <c r="C193" s="100"/>
      <c r="D193" s="123"/>
      <c r="E193" s="123"/>
      <c r="F193" s="123"/>
    </row>
    <row r="194" spans="1:6" ht="21" hidden="1" customHeight="1">
      <c r="A194" s="121"/>
      <c r="B194" s="100"/>
      <c r="C194" s="100"/>
      <c r="D194" s="123"/>
      <c r="E194" s="123"/>
      <c r="F194" s="123"/>
    </row>
    <row r="195" spans="1:6" ht="21" hidden="1" customHeight="1">
      <c r="A195" s="121"/>
      <c r="B195" s="100"/>
      <c r="C195" s="100"/>
      <c r="D195" s="123"/>
      <c r="E195" s="123"/>
      <c r="F195" s="123"/>
    </row>
    <row r="196" spans="1:6" ht="21" hidden="1" customHeight="1">
      <c r="A196" s="121"/>
      <c r="B196" s="100"/>
      <c r="C196" s="100"/>
      <c r="D196" s="123"/>
      <c r="E196" s="123"/>
      <c r="F196" s="123"/>
    </row>
    <row r="197" spans="1:6" ht="21" hidden="1" customHeight="1">
      <c r="A197" s="121"/>
      <c r="B197" s="100"/>
      <c r="C197" s="100"/>
      <c r="D197" s="123"/>
      <c r="E197" s="123"/>
      <c r="F197" s="123"/>
    </row>
    <row r="198" spans="1:6" ht="21" hidden="1" customHeight="1">
      <c r="A198" s="121"/>
      <c r="B198" s="100"/>
      <c r="C198" s="100"/>
      <c r="D198" s="123"/>
      <c r="E198" s="123"/>
      <c r="F198" s="123"/>
    </row>
    <row r="199" spans="1:6" ht="21" hidden="1" customHeight="1">
      <c r="A199" s="121"/>
      <c r="B199" s="100"/>
      <c r="C199" s="100"/>
      <c r="D199" s="123"/>
      <c r="E199" s="123"/>
      <c r="F199" s="123"/>
    </row>
    <row r="200" spans="1:6" ht="21" hidden="1" customHeight="1">
      <c r="A200" s="121"/>
      <c r="B200" s="100"/>
      <c r="C200" s="100"/>
      <c r="D200" s="123"/>
      <c r="E200" s="123"/>
      <c r="F200" s="123"/>
    </row>
    <row r="201" spans="1:6" ht="21" hidden="1" customHeight="1">
      <c r="A201" s="121"/>
      <c r="B201" s="100"/>
      <c r="C201" s="100"/>
      <c r="D201" s="123"/>
      <c r="E201" s="123"/>
      <c r="F201" s="123"/>
    </row>
    <row r="202" spans="1:6" ht="21" hidden="1" customHeight="1">
      <c r="A202" s="121"/>
      <c r="B202" s="100"/>
      <c r="C202" s="100"/>
      <c r="D202" s="123"/>
      <c r="E202" s="123"/>
      <c r="F202" s="123"/>
    </row>
    <row r="203" spans="1:6" ht="21" hidden="1" customHeight="1">
      <c r="A203" s="121"/>
      <c r="B203" s="100"/>
      <c r="C203" s="100"/>
      <c r="D203" s="123"/>
      <c r="E203" s="123"/>
      <c r="F203" s="123"/>
    </row>
    <row r="204" spans="1:6" ht="21" customHeight="1">
      <c r="A204" s="121"/>
      <c r="B204" s="100"/>
      <c r="C204" s="100"/>
      <c r="D204" s="123"/>
      <c r="E204" s="123"/>
      <c r="F204" s="123"/>
    </row>
    <row r="205" spans="1:6" ht="15.5">
      <c r="B205" s="122" t="str">
        <f>B16</f>
        <v>Mr.SHAFEEK N N</v>
      </c>
      <c r="C205" s="123" t="str">
        <f>C16</f>
        <v xml:space="preserve">M/S.SHAS DESIGN AND PRINTING </v>
      </c>
      <c r="D205" s="137"/>
      <c r="E205" s="137"/>
      <c r="F205" s="1"/>
    </row>
    <row r="206" spans="1:6" ht="15.5">
      <c r="A206" s="1019" t="str">
        <f>A17</f>
        <v>NEAR POST OFFICE, NILESHWAR</v>
      </c>
      <c r="B206" s="1019"/>
      <c r="C206" s="1019"/>
      <c r="D206" s="1019"/>
      <c r="E206" s="1019"/>
      <c r="F206" s="1019"/>
    </row>
    <row r="207" spans="1:6" ht="15.5">
      <c r="B207" s="1019" t="s">
        <v>561</v>
      </c>
      <c r="C207" s="1019"/>
      <c r="D207" s="1019"/>
      <c r="E207" s="1019"/>
      <c r="F207" s="1019"/>
    </row>
    <row r="208" spans="1:6" ht="8.25" customHeight="1">
      <c r="B208" s="122"/>
      <c r="C208" s="123"/>
      <c r="D208" s="137"/>
      <c r="E208" s="137"/>
      <c r="F208" s="1"/>
    </row>
    <row r="209" spans="1:6" ht="15.5">
      <c r="B209" s="138" t="str">
        <f>B20</f>
        <v>PARTICULARS</v>
      </c>
      <c r="C209" s="136" t="str">
        <f>C20</f>
        <v>%</v>
      </c>
      <c r="D209" s="139" t="str">
        <f>D20</f>
        <v>Rs. Ps.</v>
      </c>
      <c r="E209" s="139" t="str">
        <f>E20</f>
        <v>Rs. Ps.</v>
      </c>
      <c r="F209" s="139" t="str">
        <f>F20</f>
        <v>Rs. Ps.</v>
      </c>
    </row>
    <row r="210" spans="1:6" ht="15.5">
      <c r="B210" s="122"/>
      <c r="C210" s="123"/>
      <c r="D210" s="137"/>
      <c r="E210" s="137"/>
      <c r="F210" s="1"/>
    </row>
    <row r="211" spans="1:6" ht="15.5">
      <c r="A211" s="121"/>
      <c r="B211" s="140">
        <f t="shared" ref="B211:B248" si="0">B22</f>
        <v>0</v>
      </c>
      <c r="C211" s="100"/>
      <c r="D211" s="141">
        <f>F23</f>
        <v>0</v>
      </c>
      <c r="E211" s="141">
        <f>D211</f>
        <v>0</v>
      </c>
      <c r="F211" s="141"/>
    </row>
    <row r="212" spans="1:6" ht="15.5">
      <c r="A212" s="121"/>
      <c r="B212" s="142" t="str">
        <f t="shared" si="0"/>
        <v>Less: Depreciation Written off</v>
      </c>
      <c r="C212" s="100">
        <f>C23</f>
        <v>10</v>
      </c>
      <c r="D212" s="141"/>
      <c r="E212" s="130">
        <f>E211*10/100</f>
        <v>0</v>
      </c>
      <c r="F212" s="141">
        <f>E211-E212</f>
        <v>0</v>
      </c>
    </row>
    <row r="213" spans="1:6" ht="15.5">
      <c r="A213" s="121"/>
      <c r="B213" s="140">
        <f t="shared" si="0"/>
        <v>0</v>
      </c>
      <c r="C213" s="100"/>
      <c r="D213" s="141">
        <f>F25</f>
        <v>0</v>
      </c>
      <c r="E213" s="141">
        <f>D213</f>
        <v>0</v>
      </c>
      <c r="F213" s="141"/>
    </row>
    <row r="214" spans="1:6" ht="15.5">
      <c r="A214" s="121"/>
      <c r="B214" s="142" t="str">
        <f t="shared" si="0"/>
        <v>Less: Depreciation Written off</v>
      </c>
      <c r="C214" s="100">
        <f>C25</f>
        <v>10</v>
      </c>
      <c r="D214" s="141"/>
      <c r="E214" s="130">
        <f>E213*10/100</f>
        <v>0</v>
      </c>
      <c r="F214" s="141">
        <f>E213-E214</f>
        <v>0</v>
      </c>
    </row>
    <row r="215" spans="1:6" ht="15.5">
      <c r="A215" s="121"/>
      <c r="B215" s="140" t="str">
        <f t="shared" si="0"/>
        <v xml:space="preserve">INVERTOR 3KVA </v>
      </c>
      <c r="C215" s="100"/>
      <c r="D215" s="141">
        <f>F27</f>
        <v>70000</v>
      </c>
      <c r="E215" s="141">
        <f>D215</f>
        <v>70000</v>
      </c>
      <c r="F215" s="141"/>
    </row>
    <row r="216" spans="1:6" ht="15.5">
      <c r="A216" s="121"/>
      <c r="B216" s="142" t="str">
        <f t="shared" si="0"/>
        <v>Less: Depreciation Written off</v>
      </c>
      <c r="C216" s="100">
        <f>C27</f>
        <v>10</v>
      </c>
      <c r="D216" s="141"/>
      <c r="E216" s="130">
        <f>E215*10/100</f>
        <v>7000</v>
      </c>
      <c r="F216" s="141">
        <f>E215-E216</f>
        <v>63000</v>
      </c>
    </row>
    <row r="217" spans="1:6" ht="15.5" hidden="1">
      <c r="A217" s="121"/>
      <c r="B217" s="140" t="str">
        <f t="shared" si="0"/>
        <v>GODREREJ A/C</v>
      </c>
      <c r="C217" s="100"/>
      <c r="D217" s="141">
        <f>F29</f>
        <v>32666.666666666668</v>
      </c>
      <c r="E217" s="141">
        <f>D217</f>
        <v>32666.666666666668</v>
      </c>
      <c r="F217" s="141"/>
    </row>
    <row r="218" spans="1:6" ht="15.5" hidden="1">
      <c r="A218" s="121"/>
      <c r="B218" s="142" t="str">
        <f t="shared" si="0"/>
        <v>Less: Depreciation Written off</v>
      </c>
      <c r="C218" s="100">
        <f>C29</f>
        <v>10</v>
      </c>
      <c r="D218" s="141"/>
      <c r="E218" s="130">
        <f>E217*10/100</f>
        <v>3266.666666666667</v>
      </c>
      <c r="F218" s="141">
        <f>E217-E218</f>
        <v>29400</v>
      </c>
    </row>
    <row r="219" spans="1:6" ht="15.5" hidden="1">
      <c r="A219" s="121"/>
      <c r="B219" s="140" t="str">
        <f t="shared" si="0"/>
        <v>LLOYD A/C</v>
      </c>
      <c r="C219" s="100"/>
      <c r="D219" s="141">
        <f>F31</f>
        <v>32666.666666666668</v>
      </c>
      <c r="E219" s="141">
        <f>D219</f>
        <v>32666.666666666668</v>
      </c>
      <c r="F219" s="141"/>
    </row>
    <row r="220" spans="1:6" ht="15.5" hidden="1">
      <c r="A220" s="121"/>
      <c r="B220" s="142" t="str">
        <f t="shared" si="0"/>
        <v>Less: Depreciation Written off</v>
      </c>
      <c r="C220" s="100">
        <f>C31</f>
        <v>10</v>
      </c>
      <c r="D220" s="141"/>
      <c r="E220" s="130">
        <f>E219*10/100</f>
        <v>3266.666666666667</v>
      </c>
      <c r="F220" s="141">
        <f>E219-E220</f>
        <v>29400</v>
      </c>
    </row>
    <row r="221" spans="1:6" ht="15.5" hidden="1">
      <c r="A221" s="121"/>
      <c r="B221" s="140" t="str">
        <f t="shared" si="0"/>
        <v>HALER A/C</v>
      </c>
      <c r="C221" s="100"/>
      <c r="D221" s="141">
        <f>F33</f>
        <v>37333.333333333336</v>
      </c>
      <c r="E221" s="141">
        <f>D221</f>
        <v>37333.333333333336</v>
      </c>
      <c r="F221" s="141"/>
    </row>
    <row r="222" spans="1:6" ht="15.5" hidden="1">
      <c r="A222" s="121"/>
      <c r="B222" s="142" t="str">
        <f t="shared" si="0"/>
        <v>Less: Depreciation Written off</v>
      </c>
      <c r="C222" s="100">
        <f>C33</f>
        <v>10</v>
      </c>
      <c r="D222" s="141"/>
      <c r="E222" s="130">
        <f>E221*10/100</f>
        <v>3733.3333333333339</v>
      </c>
      <c r="F222" s="141">
        <f>E221-E222</f>
        <v>33600</v>
      </c>
    </row>
    <row r="223" spans="1:6" ht="15.5" hidden="1">
      <c r="A223" s="121"/>
      <c r="B223" s="140" t="str">
        <f t="shared" si="0"/>
        <v>COMPUTER CHAIR , TABLE Etc.</v>
      </c>
      <c r="C223" s="100"/>
      <c r="D223" s="141">
        <f>F35</f>
        <v>79333.333333333328</v>
      </c>
      <c r="E223" s="141">
        <f>D223</f>
        <v>79333.333333333328</v>
      </c>
      <c r="F223" s="141"/>
    </row>
    <row r="224" spans="1:6" ht="15.5" hidden="1">
      <c r="A224" s="121"/>
      <c r="B224" s="142" t="str">
        <f t="shared" si="0"/>
        <v>Less: Depreciation Written off</v>
      </c>
      <c r="C224" s="100">
        <f>C35</f>
        <v>10</v>
      </c>
      <c r="D224" s="141"/>
      <c r="E224" s="130">
        <f>E223*10/100</f>
        <v>7933.3333333333321</v>
      </c>
      <c r="F224" s="141">
        <f>E223-E224</f>
        <v>71400</v>
      </c>
    </row>
    <row r="225" spans="1:6" ht="15.5" hidden="1">
      <c r="A225" s="121"/>
      <c r="B225" s="140">
        <f t="shared" si="0"/>
        <v>0</v>
      </c>
      <c r="C225" s="100"/>
      <c r="D225" s="141">
        <f>F37</f>
        <v>0</v>
      </c>
      <c r="E225" s="141">
        <f>D225</f>
        <v>0</v>
      </c>
      <c r="F225" s="141"/>
    </row>
    <row r="226" spans="1:6" ht="15.5" hidden="1">
      <c r="A226" s="121"/>
      <c r="B226" s="142" t="str">
        <f t="shared" si="0"/>
        <v>Less: Depreciation Written off</v>
      </c>
      <c r="C226" s="100">
        <f>C37</f>
        <v>10</v>
      </c>
      <c r="D226" s="141"/>
      <c r="E226" s="130">
        <f>E225*10/100</f>
        <v>0</v>
      </c>
      <c r="F226" s="141">
        <f>E225-E226</f>
        <v>0</v>
      </c>
    </row>
    <row r="227" spans="1:6" ht="15.5" hidden="1">
      <c r="A227" s="121"/>
      <c r="B227" s="140">
        <f t="shared" si="0"/>
        <v>0</v>
      </c>
      <c r="C227" s="100"/>
      <c r="D227" s="141">
        <f>F39</f>
        <v>0</v>
      </c>
      <c r="E227" s="141">
        <f>D227</f>
        <v>0</v>
      </c>
      <c r="F227" s="141"/>
    </row>
    <row r="228" spans="1:6" ht="15.5" hidden="1">
      <c r="A228" s="121"/>
      <c r="B228" s="143" t="str">
        <f t="shared" si="0"/>
        <v>Less: Depreciation Written off</v>
      </c>
      <c r="C228" s="100">
        <f>C39</f>
        <v>10</v>
      </c>
      <c r="D228" s="141"/>
      <c r="E228" s="130">
        <f>E227*10/100</f>
        <v>0</v>
      </c>
      <c r="F228" s="141">
        <f>E227-E228</f>
        <v>0</v>
      </c>
    </row>
    <row r="229" spans="1:6" ht="15.5" hidden="1">
      <c r="A229" s="121"/>
      <c r="B229" s="144">
        <f t="shared" si="0"/>
        <v>0</v>
      </c>
      <c r="C229" s="100"/>
      <c r="D229" s="141">
        <f>F41</f>
        <v>0</v>
      </c>
      <c r="E229" s="141">
        <f>D229</f>
        <v>0</v>
      </c>
      <c r="F229" s="141"/>
    </row>
    <row r="230" spans="1:6" ht="15.5" hidden="1">
      <c r="A230" s="121"/>
      <c r="B230" s="143" t="str">
        <f t="shared" si="0"/>
        <v>Less: Depreciation Written off</v>
      </c>
      <c r="C230" s="100">
        <f>C41</f>
        <v>10</v>
      </c>
      <c r="D230" s="141"/>
      <c r="E230" s="130">
        <f>E229*10/100</f>
        <v>0</v>
      </c>
      <c r="F230" s="141">
        <f>E229-E230</f>
        <v>0</v>
      </c>
    </row>
    <row r="231" spans="1:6" ht="15.5" hidden="1">
      <c r="A231" s="121"/>
      <c r="B231" s="144">
        <f t="shared" si="0"/>
        <v>0</v>
      </c>
      <c r="C231" s="100"/>
      <c r="D231" s="141">
        <f>F43</f>
        <v>0</v>
      </c>
      <c r="E231" s="141">
        <f>D231</f>
        <v>0</v>
      </c>
      <c r="F231" s="141"/>
    </row>
    <row r="232" spans="1:6" ht="15.5" hidden="1">
      <c r="A232" s="121"/>
      <c r="B232" s="143" t="str">
        <f t="shared" si="0"/>
        <v>Less: Depreciation Written off</v>
      </c>
      <c r="C232" s="100">
        <f>C43</f>
        <v>10</v>
      </c>
      <c r="D232" s="141"/>
      <c r="E232" s="130">
        <f>E231*10/100</f>
        <v>0</v>
      </c>
      <c r="F232" s="141">
        <f>E231-E232</f>
        <v>0</v>
      </c>
    </row>
    <row r="233" spans="1:6" ht="15.5" hidden="1">
      <c r="A233" s="121"/>
      <c r="B233" s="144">
        <f t="shared" si="0"/>
        <v>0</v>
      </c>
      <c r="C233" s="100"/>
      <c r="D233" s="141">
        <f>F45</f>
        <v>0</v>
      </c>
      <c r="E233" s="141">
        <f>D233</f>
        <v>0</v>
      </c>
      <c r="F233" s="141"/>
    </row>
    <row r="234" spans="1:6" ht="15.5" hidden="1">
      <c r="A234" s="121"/>
      <c r="B234" s="143" t="str">
        <f t="shared" si="0"/>
        <v>Less: Depreciation Written off</v>
      </c>
      <c r="C234" s="100">
        <f>C45</f>
        <v>10</v>
      </c>
      <c r="D234" s="141"/>
      <c r="E234" s="130">
        <f>E233*10/100</f>
        <v>0</v>
      </c>
      <c r="F234" s="141">
        <f>E233-E234</f>
        <v>0</v>
      </c>
    </row>
    <row r="235" spans="1:6" ht="15.5" hidden="1">
      <c r="A235" s="121"/>
      <c r="B235" s="144">
        <f t="shared" si="0"/>
        <v>0</v>
      </c>
      <c r="C235" s="100"/>
      <c r="D235" s="141">
        <f>F47</f>
        <v>0</v>
      </c>
      <c r="E235" s="141">
        <f>D235</f>
        <v>0</v>
      </c>
      <c r="F235" s="141"/>
    </row>
    <row r="236" spans="1:6" ht="15.5" hidden="1">
      <c r="A236" s="121"/>
      <c r="B236" s="143" t="str">
        <f t="shared" si="0"/>
        <v>Less: Depreciation Written off</v>
      </c>
      <c r="C236" s="100">
        <f>C47</f>
        <v>10</v>
      </c>
      <c r="D236" s="141"/>
      <c r="E236" s="130">
        <f>E235*10/100</f>
        <v>0</v>
      </c>
      <c r="F236" s="141">
        <f>E235-E236</f>
        <v>0</v>
      </c>
    </row>
    <row r="237" spans="1:6" ht="15.5" hidden="1">
      <c r="A237" s="121"/>
      <c r="B237" s="144">
        <f t="shared" si="0"/>
        <v>0</v>
      </c>
      <c r="C237" s="100"/>
      <c r="D237" s="141">
        <f>F49</f>
        <v>0</v>
      </c>
      <c r="E237" s="141">
        <f>D237</f>
        <v>0</v>
      </c>
      <c r="F237" s="141"/>
    </row>
    <row r="238" spans="1:6" ht="15.5" hidden="1">
      <c r="A238" s="121"/>
      <c r="B238" s="143" t="str">
        <f t="shared" si="0"/>
        <v>Less: Depreciation Written off</v>
      </c>
      <c r="C238" s="100">
        <f>C49</f>
        <v>10</v>
      </c>
      <c r="D238" s="141"/>
      <c r="E238" s="130">
        <f>E237*10/100</f>
        <v>0</v>
      </c>
      <c r="F238" s="141">
        <f>E237-E238</f>
        <v>0</v>
      </c>
    </row>
    <row r="239" spans="1:6" ht="15.5" hidden="1">
      <c r="A239" s="121"/>
      <c r="B239" s="144">
        <f t="shared" si="0"/>
        <v>0</v>
      </c>
      <c r="C239" s="100"/>
      <c r="D239" s="141">
        <f>F51</f>
        <v>0</v>
      </c>
      <c r="E239" s="141">
        <f>D239</f>
        <v>0</v>
      </c>
      <c r="F239" s="141"/>
    </row>
    <row r="240" spans="1:6" ht="15.5" hidden="1">
      <c r="A240" s="121"/>
      <c r="B240" s="143" t="str">
        <f t="shared" si="0"/>
        <v>Less: Depreciation Written off</v>
      </c>
      <c r="C240" s="100">
        <f>C51</f>
        <v>10</v>
      </c>
      <c r="D240" s="141"/>
      <c r="E240" s="130">
        <f>E239*10/100</f>
        <v>0</v>
      </c>
      <c r="F240" s="141">
        <f>E239-E240</f>
        <v>0</v>
      </c>
    </row>
    <row r="241" spans="1:6" ht="15.5" hidden="1">
      <c r="A241" s="121"/>
      <c r="B241" s="144">
        <f t="shared" si="0"/>
        <v>0</v>
      </c>
      <c r="C241" s="100"/>
      <c r="D241" s="141">
        <f>F53</f>
        <v>0</v>
      </c>
      <c r="E241" s="141">
        <f>D241</f>
        <v>0</v>
      </c>
      <c r="F241" s="141"/>
    </row>
    <row r="242" spans="1:6" ht="15.5" hidden="1">
      <c r="A242" s="121"/>
      <c r="B242" s="143" t="str">
        <f t="shared" si="0"/>
        <v>Less: Depreciation Written off</v>
      </c>
      <c r="C242" s="100">
        <f>C53</f>
        <v>10</v>
      </c>
      <c r="D242" s="141"/>
      <c r="E242" s="130">
        <f>E241*10/100</f>
        <v>0</v>
      </c>
      <c r="F242" s="141">
        <f>E241-E242</f>
        <v>0</v>
      </c>
    </row>
    <row r="243" spans="1:6" ht="15.5" hidden="1">
      <c r="A243" s="121"/>
      <c r="B243" s="144">
        <f t="shared" si="0"/>
        <v>0</v>
      </c>
      <c r="C243" s="100"/>
      <c r="D243" s="141">
        <f>F55</f>
        <v>0</v>
      </c>
      <c r="E243" s="141">
        <f>D243</f>
        <v>0</v>
      </c>
      <c r="F243" s="141"/>
    </row>
    <row r="244" spans="1:6" ht="15.5" hidden="1">
      <c r="A244" s="121"/>
      <c r="B244" s="140" t="str">
        <f t="shared" si="0"/>
        <v>Less: Depreciation Written off</v>
      </c>
      <c r="C244" s="100">
        <f>C55</f>
        <v>10</v>
      </c>
      <c r="D244" s="141"/>
      <c r="E244" s="130">
        <f>E243*10/100</f>
        <v>0</v>
      </c>
      <c r="F244" s="141">
        <f>E243-E244</f>
        <v>0</v>
      </c>
    </row>
    <row r="245" spans="1:6" ht="15.5" hidden="1">
      <c r="A245" s="121"/>
      <c r="B245" s="140">
        <f t="shared" si="0"/>
        <v>0</v>
      </c>
      <c r="C245" s="100"/>
      <c r="D245" s="141">
        <f>F57</f>
        <v>0</v>
      </c>
      <c r="E245" s="141">
        <f>D245</f>
        <v>0</v>
      </c>
      <c r="F245" s="141"/>
    </row>
    <row r="246" spans="1:6" ht="15.5" hidden="1">
      <c r="A246" s="121"/>
      <c r="B246" s="142" t="str">
        <f t="shared" si="0"/>
        <v>Less: Depreciation Written off</v>
      </c>
      <c r="C246" s="100"/>
      <c r="D246" s="141"/>
      <c r="E246" s="130">
        <f>E245*10/100</f>
        <v>0</v>
      </c>
      <c r="F246" s="141">
        <f>E245-E246</f>
        <v>0</v>
      </c>
    </row>
    <row r="247" spans="1:6" ht="15.5" hidden="1">
      <c r="A247" s="121"/>
      <c r="B247" s="140">
        <f t="shared" si="0"/>
        <v>0</v>
      </c>
      <c r="C247" s="100">
        <f>C57</f>
        <v>10</v>
      </c>
      <c r="D247" s="141">
        <f>F59</f>
        <v>0</v>
      </c>
      <c r="E247" s="130">
        <f>D247</f>
        <v>0</v>
      </c>
      <c r="F247" s="141"/>
    </row>
    <row r="248" spans="1:6" ht="15.5" hidden="1">
      <c r="A248" s="121"/>
      <c r="B248" s="142" t="str">
        <f t="shared" si="0"/>
        <v>Less: Depreciation Written off</v>
      </c>
      <c r="C248" s="100"/>
      <c r="D248" s="141"/>
      <c r="E248" s="130">
        <f>E247*10/100</f>
        <v>0</v>
      </c>
      <c r="F248" s="141">
        <f>E247-E248</f>
        <v>0</v>
      </c>
    </row>
    <row r="249" spans="1:6" ht="15.5" hidden="1">
      <c r="A249" s="121"/>
      <c r="B249" s="140"/>
      <c r="C249" s="100"/>
      <c r="D249" s="141"/>
      <c r="E249" s="130"/>
      <c r="F249" s="141"/>
    </row>
    <row r="250" spans="1:6" ht="15.5" hidden="1">
      <c r="B250" s="142"/>
      <c r="C250" s="100"/>
      <c r="D250" s="141"/>
      <c r="E250" s="141"/>
      <c r="F250" s="141"/>
    </row>
    <row r="251" spans="1:6" ht="15.5" hidden="1">
      <c r="B251" s="140"/>
      <c r="C251" s="100"/>
      <c r="D251" s="141"/>
      <c r="E251" s="130"/>
      <c r="F251" s="141"/>
    </row>
    <row r="252" spans="1:6" ht="15.5" hidden="1">
      <c r="B252" s="142"/>
      <c r="C252" s="100"/>
      <c r="D252" s="141"/>
      <c r="E252" s="141"/>
      <c r="F252" s="141"/>
    </row>
    <row r="253" spans="1:6" ht="15.5" hidden="1">
      <c r="B253" s="140"/>
      <c r="C253" s="100"/>
      <c r="D253" s="141"/>
      <c r="E253" s="130"/>
      <c r="F253" s="141"/>
    </row>
    <row r="254" spans="1:6" ht="15.5" hidden="1">
      <c r="B254" s="142"/>
      <c r="C254" s="100"/>
      <c r="D254" s="141"/>
      <c r="E254" s="141"/>
      <c r="F254" s="141"/>
    </row>
    <row r="255" spans="1:6" ht="15.5" hidden="1">
      <c r="B255" s="140"/>
      <c r="C255" s="100"/>
      <c r="D255" s="141"/>
      <c r="E255" s="130"/>
      <c r="F255" s="141"/>
    </row>
    <row r="256" spans="1:6" ht="15.5" hidden="1">
      <c r="B256" s="142"/>
      <c r="C256" s="100"/>
      <c r="D256" s="141"/>
      <c r="E256" s="141"/>
      <c r="F256" s="141"/>
    </row>
    <row r="257" spans="2:6" ht="15.5" hidden="1">
      <c r="B257" s="140"/>
      <c r="C257" s="100"/>
      <c r="D257" s="141"/>
      <c r="E257" s="130"/>
      <c r="F257" s="141"/>
    </row>
    <row r="258" spans="2:6" ht="15.5" hidden="1">
      <c r="B258" s="142"/>
      <c r="C258" s="100"/>
      <c r="D258" s="141"/>
      <c r="E258" s="141"/>
      <c r="F258" s="141"/>
    </row>
    <row r="259" spans="2:6" ht="15.5" hidden="1">
      <c r="B259" s="140"/>
      <c r="C259" s="100"/>
      <c r="D259" s="141"/>
      <c r="E259" s="130"/>
      <c r="F259" s="141"/>
    </row>
    <row r="260" spans="2:6" ht="15.5" hidden="1">
      <c r="B260" s="142"/>
      <c r="C260" s="100"/>
      <c r="D260" s="141"/>
      <c r="E260" s="141"/>
      <c r="F260" s="141"/>
    </row>
    <row r="261" spans="2:6" ht="15.5" hidden="1">
      <c r="B261" s="140"/>
      <c r="C261" s="100"/>
      <c r="D261" s="141"/>
      <c r="E261" s="130"/>
      <c r="F261" s="141"/>
    </row>
    <row r="262" spans="2:6" ht="15.5" hidden="1">
      <c r="B262" s="140"/>
      <c r="C262" s="100"/>
      <c r="D262" s="141"/>
      <c r="E262" s="141"/>
      <c r="F262" s="141"/>
    </row>
    <row r="263" spans="2:6" ht="15.5" hidden="1">
      <c r="B263" s="142"/>
      <c r="C263" s="100"/>
      <c r="D263" s="141"/>
      <c r="E263" s="141"/>
      <c r="F263" s="141"/>
    </row>
    <row r="264" spans="2:6" ht="15.5" hidden="1">
      <c r="B264" s="140"/>
      <c r="C264" s="100"/>
      <c r="D264" s="141"/>
      <c r="E264" s="130"/>
      <c r="F264" s="141"/>
    </row>
    <row r="265" spans="2:6" ht="15.5" hidden="1">
      <c r="B265" s="142"/>
      <c r="C265" s="100"/>
      <c r="D265" s="141"/>
      <c r="E265" s="141"/>
      <c r="F265" s="141"/>
    </row>
    <row r="266" spans="2:6" ht="15.5" hidden="1">
      <c r="B266" s="140"/>
      <c r="C266" s="100"/>
      <c r="D266" s="141"/>
      <c r="E266" s="130"/>
      <c r="F266" s="141"/>
    </row>
    <row r="267" spans="2:6" ht="15.5" hidden="1">
      <c r="B267" s="142"/>
      <c r="C267" s="100"/>
      <c r="D267" s="141"/>
      <c r="E267" s="141"/>
      <c r="F267" s="141"/>
    </row>
    <row r="268" spans="2:6" ht="15.5" hidden="1">
      <c r="B268" s="140"/>
      <c r="C268" s="100"/>
      <c r="D268" s="141"/>
      <c r="E268" s="130"/>
      <c r="F268" s="141"/>
    </row>
    <row r="269" spans="2:6" ht="15.5" hidden="1">
      <c r="B269" s="142"/>
      <c r="C269" s="100"/>
      <c r="D269" s="141"/>
      <c r="E269" s="141"/>
      <c r="F269" s="141"/>
    </row>
    <row r="270" spans="2:6" ht="15.5" hidden="1">
      <c r="B270" s="140"/>
      <c r="C270" s="100"/>
      <c r="D270" s="141"/>
      <c r="E270" s="130"/>
      <c r="F270" s="141"/>
    </row>
    <row r="271" spans="2:6" ht="15.5" hidden="1">
      <c r="B271" s="142"/>
      <c r="C271" s="100"/>
      <c r="D271" s="141"/>
      <c r="E271" s="141"/>
      <c r="F271" s="141"/>
    </row>
    <row r="272" spans="2:6" ht="15.5" hidden="1">
      <c r="B272" s="140"/>
      <c r="C272" s="100"/>
      <c r="D272" s="141"/>
      <c r="E272" s="130"/>
      <c r="F272" s="141"/>
    </row>
    <row r="273" spans="2:6" ht="15.5" hidden="1">
      <c r="B273" s="142"/>
      <c r="C273" s="100"/>
      <c r="D273" s="141"/>
      <c r="E273" s="141"/>
      <c r="F273" s="141"/>
    </row>
    <row r="274" spans="2:6" ht="15.5" hidden="1">
      <c r="B274" s="122"/>
      <c r="C274" s="100"/>
      <c r="D274" s="141"/>
      <c r="E274" s="130"/>
      <c r="F274" s="141"/>
    </row>
    <row r="275" spans="2:6" ht="15.5" hidden="1">
      <c r="B275" s="122"/>
      <c r="C275" s="100"/>
      <c r="D275" s="141"/>
      <c r="E275" s="130"/>
      <c r="F275" s="141"/>
    </row>
    <row r="276" spans="2:6" ht="15.5" hidden="1">
      <c r="B276" s="122"/>
      <c r="C276" s="100"/>
      <c r="D276" s="141"/>
      <c r="E276" s="130"/>
      <c r="F276" s="141"/>
    </row>
    <row r="277" spans="2:6" ht="15.5" hidden="1">
      <c r="B277" s="122"/>
      <c r="C277" s="100"/>
      <c r="D277" s="141"/>
      <c r="E277" s="130"/>
      <c r="F277" s="141"/>
    </row>
    <row r="278" spans="2:6" ht="15.5" hidden="1">
      <c r="B278" s="122"/>
      <c r="C278" s="100"/>
      <c r="D278" s="141"/>
      <c r="E278" s="130"/>
      <c r="F278" s="141"/>
    </row>
    <row r="279" spans="2:6" ht="15.5" hidden="1">
      <c r="B279" s="122"/>
      <c r="C279" s="100"/>
      <c r="D279" s="141"/>
      <c r="E279" s="130"/>
      <c r="F279" s="141"/>
    </row>
    <row r="280" spans="2:6" ht="15.5" hidden="1">
      <c r="B280" s="122"/>
      <c r="C280" s="100"/>
      <c r="D280" s="141"/>
      <c r="E280" s="130"/>
      <c r="F280" s="141"/>
    </row>
    <row r="281" spans="2:6" ht="15.5" hidden="1">
      <c r="B281" s="122"/>
      <c r="C281" s="100"/>
      <c r="D281" s="141"/>
      <c r="E281" s="130"/>
      <c r="F281" s="141"/>
    </row>
    <row r="282" spans="2:6" ht="15.5" hidden="1">
      <c r="B282" s="122"/>
      <c r="C282" s="100"/>
      <c r="D282" s="141"/>
      <c r="E282" s="130"/>
      <c r="F282" s="141"/>
    </row>
    <row r="283" spans="2:6" ht="15.5" hidden="1">
      <c r="B283" s="122"/>
      <c r="C283" s="100"/>
      <c r="D283" s="141"/>
      <c r="E283" s="130"/>
      <c r="F283" s="141"/>
    </row>
    <row r="284" spans="2:6" ht="15.5" hidden="1">
      <c r="B284" s="122"/>
      <c r="C284" s="100"/>
      <c r="D284" s="141"/>
      <c r="E284" s="130"/>
      <c r="F284" s="141"/>
    </row>
    <row r="285" spans="2:6" ht="15.5" hidden="1">
      <c r="B285" s="122"/>
      <c r="C285" s="100"/>
      <c r="D285" s="141"/>
      <c r="E285" s="130"/>
      <c r="F285" s="141"/>
    </row>
    <row r="286" spans="2:6" ht="15.5" hidden="1">
      <c r="B286" s="122"/>
      <c r="C286" s="100"/>
      <c r="D286" s="141"/>
      <c r="E286" s="130"/>
      <c r="F286" s="141"/>
    </row>
    <row r="287" spans="2:6" ht="15.5" hidden="1">
      <c r="B287" s="122"/>
      <c r="C287" s="100"/>
      <c r="D287" s="141"/>
      <c r="E287" s="130"/>
      <c r="F287" s="141"/>
    </row>
    <row r="288" spans="2:6" ht="15.5" hidden="1">
      <c r="B288" s="122"/>
      <c r="C288" s="100"/>
      <c r="D288" s="141"/>
      <c r="E288" s="130"/>
      <c r="F288" s="141"/>
    </row>
    <row r="289" spans="2:6" ht="15.5" hidden="1">
      <c r="B289" s="122"/>
      <c r="C289" s="100"/>
      <c r="D289" s="141"/>
      <c r="E289" s="130"/>
      <c r="F289" s="141"/>
    </row>
    <row r="290" spans="2:6" ht="15.5" hidden="1">
      <c r="B290" s="122"/>
      <c r="C290" s="100"/>
      <c r="D290" s="141"/>
      <c r="E290" s="130"/>
      <c r="F290" s="141"/>
    </row>
    <row r="291" spans="2:6" ht="15.5" hidden="1">
      <c r="B291" s="122"/>
      <c r="C291" s="100"/>
      <c r="D291" s="141"/>
      <c r="E291" s="130"/>
      <c r="F291" s="141"/>
    </row>
    <row r="292" spans="2:6" ht="15.5" hidden="1">
      <c r="B292" s="122"/>
      <c r="C292" s="100"/>
      <c r="D292" s="141"/>
      <c r="E292" s="130"/>
      <c r="F292" s="141"/>
    </row>
    <row r="293" spans="2:6" ht="15.5" hidden="1">
      <c r="B293" s="122"/>
      <c r="C293" s="100"/>
      <c r="D293" s="141"/>
      <c r="E293" s="130"/>
      <c r="F293" s="141"/>
    </row>
    <row r="294" spans="2:6" ht="15.5" hidden="1">
      <c r="B294" s="122"/>
      <c r="C294" s="100"/>
      <c r="D294" s="141"/>
      <c r="E294" s="130"/>
      <c r="F294" s="141"/>
    </row>
    <row r="295" spans="2:6" ht="15.5" hidden="1">
      <c r="B295" s="122"/>
      <c r="C295" s="100"/>
      <c r="D295" s="141"/>
      <c r="E295" s="130"/>
      <c r="F295" s="141"/>
    </row>
    <row r="296" spans="2:6" ht="15.5" hidden="1">
      <c r="B296" s="122"/>
      <c r="C296" s="100"/>
      <c r="D296" s="141"/>
      <c r="E296" s="130"/>
      <c r="F296" s="141"/>
    </row>
    <row r="297" spans="2:6" ht="15.5" hidden="1">
      <c r="B297" s="122"/>
      <c r="C297" s="100"/>
      <c r="D297" s="141"/>
      <c r="E297" s="130"/>
      <c r="F297" s="141"/>
    </row>
    <row r="298" spans="2:6" ht="15.5" hidden="1">
      <c r="B298" s="122"/>
      <c r="C298" s="100"/>
      <c r="D298" s="141"/>
      <c r="E298" s="130"/>
      <c r="F298" s="141"/>
    </row>
    <row r="299" spans="2:6" ht="15.5" hidden="1">
      <c r="B299" s="122"/>
      <c r="C299" s="100"/>
      <c r="D299" s="141"/>
      <c r="E299" s="130"/>
      <c r="F299" s="141"/>
    </row>
    <row r="300" spans="2:6" ht="15.5" hidden="1">
      <c r="B300" s="122"/>
      <c r="C300" s="100"/>
      <c r="D300" s="141"/>
      <c r="E300" s="130"/>
      <c r="F300" s="141"/>
    </row>
    <row r="301" spans="2:6" ht="15.5" hidden="1">
      <c r="B301" s="122"/>
      <c r="C301" s="100"/>
      <c r="D301" s="141"/>
      <c r="E301" s="130"/>
      <c r="F301" s="141"/>
    </row>
    <row r="302" spans="2:6" ht="15.5" hidden="1">
      <c r="B302" s="122"/>
      <c r="C302" s="100"/>
      <c r="D302" s="141"/>
      <c r="E302" s="130"/>
      <c r="F302" s="141"/>
    </row>
    <row r="303" spans="2:6" ht="15.5" hidden="1">
      <c r="B303" s="122"/>
      <c r="C303" s="100"/>
      <c r="D303" s="141"/>
      <c r="E303" s="130"/>
      <c r="F303" s="141"/>
    </row>
    <row r="304" spans="2:6" ht="15.5" hidden="1">
      <c r="B304" s="122"/>
      <c r="C304" s="100"/>
      <c r="D304" s="141"/>
      <c r="E304" s="130"/>
      <c r="F304" s="141"/>
    </row>
    <row r="305" spans="2:6" ht="15.5" hidden="1">
      <c r="B305" s="122"/>
      <c r="C305" s="100"/>
      <c r="D305" s="141"/>
      <c r="E305" s="130"/>
      <c r="F305" s="141"/>
    </row>
    <row r="306" spans="2:6" ht="15.5" hidden="1">
      <c r="B306" s="122"/>
      <c r="C306" s="100"/>
      <c r="D306" s="141"/>
      <c r="E306" s="130"/>
      <c r="F306" s="141"/>
    </row>
    <row r="307" spans="2:6" ht="15.5" hidden="1">
      <c r="B307" s="122"/>
      <c r="C307" s="100"/>
      <c r="D307" s="141"/>
      <c r="E307" s="130"/>
      <c r="F307" s="141"/>
    </row>
    <row r="308" spans="2:6" ht="15.5" hidden="1">
      <c r="B308" s="122"/>
      <c r="C308" s="100"/>
      <c r="D308" s="141"/>
      <c r="E308" s="130"/>
      <c r="F308" s="141"/>
    </row>
    <row r="309" spans="2:6" ht="15.5" hidden="1">
      <c r="B309" s="122"/>
      <c r="C309" s="123"/>
      <c r="D309" s="141"/>
      <c r="E309" s="145"/>
      <c r="F309" s="141"/>
    </row>
    <row r="310" spans="2:6" ht="15.5">
      <c r="B310" s="146"/>
      <c r="C310" s="136" t="str">
        <f>C67</f>
        <v>TOTAL</v>
      </c>
      <c r="D310" s="139">
        <f>SUM(D211:D309)</f>
        <v>252000</v>
      </c>
      <c r="E310" s="139">
        <f>E212+E214+E216+E218+E220+E222+E224+E226+E228+E230+E232+E234+E236+E238+E240+E242+E244+E246+E248</f>
        <v>25200.000000000004</v>
      </c>
      <c r="F310" s="139">
        <f>SUM(F211:F251)</f>
        <v>226800</v>
      </c>
    </row>
    <row r="311" spans="2:6" ht="15.5">
      <c r="B311" s="122"/>
      <c r="C311" s="123"/>
      <c r="D311" s="137"/>
      <c r="E311" s="137"/>
      <c r="F311" s="137"/>
    </row>
    <row r="312" spans="2:6" ht="15.5">
      <c r="B312" s="122"/>
      <c r="C312" s="123"/>
      <c r="D312" s="137"/>
      <c r="E312" s="137"/>
      <c r="F312" s="137"/>
    </row>
    <row r="313" spans="2:6" ht="15.5">
      <c r="B313" s="122"/>
      <c r="C313" s="123"/>
      <c r="D313" s="137"/>
      <c r="E313" s="137"/>
      <c r="F313" s="137"/>
    </row>
    <row r="314" spans="2:6" ht="15.5">
      <c r="B314" s="122"/>
      <c r="C314" s="123"/>
      <c r="D314" s="137"/>
      <c r="E314" s="137"/>
      <c r="F314" s="137"/>
    </row>
    <row r="315" spans="2:6" ht="15.5">
      <c r="B315" s="122"/>
      <c r="C315" s="123"/>
      <c r="D315" s="137"/>
      <c r="E315" s="137"/>
      <c r="F315" s="137"/>
    </row>
    <row r="316" spans="2:6" ht="15.5">
      <c r="B316" s="122"/>
      <c r="C316" s="123"/>
      <c r="D316" s="137"/>
      <c r="E316" s="137"/>
      <c r="F316" s="137"/>
    </row>
    <row r="317" spans="2:6" ht="15.5">
      <c r="B317" s="122"/>
      <c r="C317" s="123"/>
      <c r="D317" s="137"/>
      <c r="E317" s="137"/>
      <c r="F317" s="137"/>
    </row>
    <row r="318" spans="2:6" ht="15.5" hidden="1">
      <c r="B318" s="122"/>
      <c r="C318" s="123"/>
      <c r="D318" s="137"/>
      <c r="E318" s="137"/>
      <c r="F318" s="137"/>
    </row>
    <row r="319" spans="2:6" ht="15.5" hidden="1">
      <c r="B319" s="122"/>
      <c r="C319" s="123"/>
      <c r="D319" s="137"/>
      <c r="E319" s="137"/>
      <c r="F319" s="137"/>
    </row>
    <row r="320" spans="2:6" ht="15.5" hidden="1">
      <c r="B320" s="122"/>
      <c r="C320" s="123"/>
      <c r="D320" s="137"/>
      <c r="E320" s="137"/>
      <c r="F320" s="137"/>
    </row>
    <row r="321" spans="2:6" ht="15.5" hidden="1">
      <c r="B321" s="122"/>
      <c r="C321" s="123"/>
      <c r="D321" s="137"/>
      <c r="E321" s="137"/>
      <c r="F321" s="137"/>
    </row>
    <row r="322" spans="2:6" ht="15.5" hidden="1">
      <c r="B322" s="122"/>
      <c r="C322" s="123"/>
      <c r="D322" s="137"/>
      <c r="E322" s="137"/>
      <c r="F322" s="137"/>
    </row>
    <row r="323" spans="2:6" ht="15.5" hidden="1">
      <c r="B323" s="122"/>
      <c r="C323" s="123"/>
      <c r="D323" s="137"/>
      <c r="E323" s="137"/>
      <c r="F323" s="137"/>
    </row>
    <row r="324" spans="2:6" ht="15.5" hidden="1">
      <c r="B324" s="122"/>
      <c r="C324" s="123"/>
      <c r="D324" s="137"/>
      <c r="E324" s="137"/>
      <c r="F324" s="137"/>
    </row>
    <row r="325" spans="2:6" ht="15.5" hidden="1">
      <c r="B325" s="122"/>
      <c r="C325" s="123"/>
      <c r="D325" s="137"/>
      <c r="E325" s="137"/>
      <c r="F325" s="137"/>
    </row>
    <row r="326" spans="2:6" ht="15.5" hidden="1">
      <c r="B326" s="122"/>
      <c r="C326" s="123"/>
      <c r="D326" s="137"/>
      <c r="E326" s="137"/>
      <c r="F326" s="137"/>
    </row>
    <row r="327" spans="2:6" ht="15.5" hidden="1">
      <c r="B327" s="122"/>
      <c r="C327" s="123"/>
      <c r="D327" s="137"/>
      <c r="E327" s="137"/>
      <c r="F327" s="137"/>
    </row>
    <row r="328" spans="2:6" ht="15.5" hidden="1">
      <c r="B328" s="122"/>
      <c r="C328" s="123"/>
      <c r="D328" s="137"/>
      <c r="E328" s="137"/>
      <c r="F328" s="137"/>
    </row>
    <row r="329" spans="2:6" ht="15.5" hidden="1">
      <c r="B329" s="122"/>
      <c r="C329" s="123"/>
      <c r="D329" s="137"/>
      <c r="E329" s="137"/>
      <c r="F329" s="137"/>
    </row>
    <row r="330" spans="2:6" ht="15.5" hidden="1">
      <c r="B330" s="122"/>
      <c r="C330" s="123"/>
      <c r="D330" s="137"/>
      <c r="E330" s="137"/>
      <c r="F330" s="137"/>
    </row>
    <row r="331" spans="2:6" ht="15.5" hidden="1">
      <c r="B331" s="122"/>
      <c r="C331" s="123"/>
      <c r="D331" s="137"/>
      <c r="E331" s="137"/>
      <c r="F331" s="137"/>
    </row>
    <row r="332" spans="2:6" ht="15.5" hidden="1">
      <c r="B332" s="122"/>
      <c r="C332" s="123"/>
      <c r="D332" s="137"/>
      <c r="E332" s="137"/>
      <c r="F332" s="137"/>
    </row>
    <row r="333" spans="2:6" ht="15.5" hidden="1">
      <c r="B333" s="122"/>
      <c r="C333" s="123"/>
      <c r="D333" s="137"/>
      <c r="E333" s="137"/>
      <c r="F333" s="137"/>
    </row>
    <row r="334" spans="2:6" ht="15.5" hidden="1">
      <c r="B334" s="122"/>
      <c r="C334" s="123"/>
      <c r="D334" s="137"/>
      <c r="E334" s="137"/>
      <c r="F334" s="137"/>
    </row>
    <row r="335" spans="2:6" ht="15.5" hidden="1">
      <c r="B335" s="122"/>
      <c r="C335" s="123"/>
      <c r="D335" s="137"/>
      <c r="E335" s="137"/>
      <c r="F335" s="137"/>
    </row>
    <row r="336" spans="2:6" ht="15.5" hidden="1">
      <c r="B336" s="122"/>
      <c r="C336" s="123"/>
      <c r="D336" s="137"/>
      <c r="E336" s="137"/>
      <c r="F336" s="137"/>
    </row>
    <row r="337" spans="2:6" ht="15.5" hidden="1">
      <c r="B337" s="122"/>
      <c r="C337" s="123"/>
      <c r="D337" s="137"/>
      <c r="E337" s="137"/>
      <c r="F337" s="137"/>
    </row>
    <row r="338" spans="2:6" ht="15.5" hidden="1">
      <c r="B338" s="122"/>
      <c r="C338" s="123"/>
      <c r="D338" s="137"/>
      <c r="E338" s="137"/>
      <c r="F338" s="137"/>
    </row>
    <row r="339" spans="2:6" ht="15.5" hidden="1">
      <c r="B339" s="122"/>
      <c r="C339" s="123"/>
      <c r="D339" s="137"/>
      <c r="E339" s="137"/>
      <c r="F339" s="137"/>
    </row>
    <row r="340" spans="2:6" ht="15.5" hidden="1">
      <c r="B340" s="122"/>
      <c r="C340" s="123"/>
      <c r="D340" s="137"/>
      <c r="E340" s="137"/>
      <c r="F340" s="137"/>
    </row>
    <row r="341" spans="2:6" ht="15.5">
      <c r="B341" s="122"/>
      <c r="C341" s="123"/>
      <c r="D341" s="137"/>
      <c r="E341" s="137"/>
      <c r="F341" s="137"/>
    </row>
    <row r="342" spans="2:6" ht="15.5">
      <c r="B342" s="122"/>
      <c r="C342" s="123"/>
      <c r="D342" s="137"/>
      <c r="E342" s="137"/>
      <c r="F342" s="137"/>
    </row>
    <row r="343" spans="2:6" ht="15.5">
      <c r="B343" s="122"/>
      <c r="C343" s="123"/>
      <c r="D343" s="137"/>
      <c r="E343" s="137"/>
      <c r="F343" s="137"/>
    </row>
    <row r="344" spans="2:6" ht="15.5">
      <c r="B344" s="122"/>
      <c r="C344" s="123"/>
      <c r="D344" s="137"/>
      <c r="E344" s="137"/>
      <c r="F344" s="137"/>
    </row>
    <row r="345" spans="2:6" ht="15.5">
      <c r="B345" s="122"/>
      <c r="C345" s="123"/>
      <c r="D345" s="137"/>
      <c r="E345" s="137"/>
      <c r="F345" s="137"/>
    </row>
    <row r="346" spans="2:6" ht="15.5">
      <c r="B346" s="122"/>
      <c r="C346" s="123"/>
      <c r="D346" s="137"/>
      <c r="E346" s="137"/>
      <c r="F346" s="137"/>
    </row>
    <row r="347" spans="2:6" ht="15.5">
      <c r="B347" s="122"/>
      <c r="C347" s="123"/>
      <c r="D347" s="137"/>
      <c r="E347" s="137"/>
      <c r="F347" s="137"/>
    </row>
    <row r="348" spans="2:6" ht="15.5">
      <c r="B348" s="122"/>
      <c r="C348" s="123"/>
      <c r="D348" s="137"/>
      <c r="E348" s="137"/>
      <c r="F348" s="137"/>
    </row>
    <row r="349" spans="2:6" ht="15.5">
      <c r="B349" s="122"/>
      <c r="C349" s="123"/>
      <c r="D349" s="137"/>
      <c r="E349" s="137"/>
      <c r="F349" s="137"/>
    </row>
    <row r="350" spans="2:6" ht="15.5">
      <c r="B350" s="122"/>
      <c r="C350" s="123"/>
      <c r="D350" s="137"/>
      <c r="E350" s="137"/>
      <c r="F350" s="137"/>
    </row>
    <row r="351" spans="2:6" ht="15.5">
      <c r="B351" s="122"/>
      <c r="C351" s="123"/>
      <c r="D351" s="137"/>
      <c r="E351" s="137"/>
      <c r="F351" s="137"/>
    </row>
    <row r="352" spans="2:6" ht="15.5">
      <c r="B352" s="122"/>
      <c r="C352" s="123"/>
      <c r="D352" s="137"/>
      <c r="E352" s="137"/>
      <c r="F352" s="137"/>
    </row>
    <row r="353" spans="2:6" ht="15.5">
      <c r="B353" s="122"/>
      <c r="C353" s="123"/>
      <c r="D353" s="137"/>
      <c r="E353" s="137"/>
      <c r="F353" s="137"/>
    </row>
    <row r="354" spans="2:6" ht="15.5">
      <c r="B354" s="122"/>
      <c r="C354" s="123"/>
      <c r="D354" s="137"/>
      <c r="E354" s="137"/>
      <c r="F354" s="137"/>
    </row>
    <row r="355" spans="2:6" ht="15.5">
      <c r="B355" s="122"/>
      <c r="C355" s="123"/>
      <c r="D355" s="137"/>
      <c r="E355" s="137"/>
      <c r="F355" s="137"/>
    </row>
    <row r="356" spans="2:6" ht="15.5">
      <c r="B356" s="122"/>
      <c r="C356" s="123"/>
      <c r="D356" s="137"/>
      <c r="E356" s="137"/>
      <c r="F356" s="137"/>
    </row>
    <row r="357" spans="2:6" ht="15.5">
      <c r="B357" s="122"/>
      <c r="C357" s="123"/>
      <c r="D357" s="137"/>
      <c r="E357" s="137"/>
      <c r="F357" s="137"/>
    </row>
    <row r="358" spans="2:6" ht="15.5">
      <c r="B358" s="122"/>
      <c r="C358" s="123"/>
      <c r="D358" s="137"/>
      <c r="E358" s="137"/>
      <c r="F358" s="137"/>
    </row>
    <row r="359" spans="2:6" ht="15.5">
      <c r="B359" s="122"/>
      <c r="C359" s="123"/>
      <c r="D359" s="137"/>
      <c r="E359" s="137"/>
      <c r="F359" s="137"/>
    </row>
    <row r="360" spans="2:6" ht="15.5">
      <c r="B360" s="122"/>
      <c r="C360" s="123"/>
      <c r="D360" s="137"/>
      <c r="E360" s="137"/>
      <c r="F360" s="137"/>
    </row>
    <row r="361" spans="2:6" ht="15.5">
      <c r="B361" s="122"/>
      <c r="C361" s="123"/>
      <c r="D361" s="137"/>
      <c r="E361" s="137"/>
      <c r="F361" s="137"/>
    </row>
    <row r="362" spans="2:6" ht="15.5">
      <c r="B362" s="122"/>
      <c r="C362" s="123"/>
      <c r="D362" s="137"/>
      <c r="E362" s="137"/>
      <c r="F362" s="137"/>
    </row>
    <row r="363" spans="2:6" ht="15.5">
      <c r="B363" s="122"/>
      <c r="C363" s="123"/>
      <c r="D363" s="137"/>
      <c r="E363" s="137"/>
      <c r="F363" s="137"/>
    </row>
    <row r="364" spans="2:6" ht="15.5">
      <c r="B364" s="122"/>
      <c r="C364" s="123"/>
      <c r="D364" s="137"/>
      <c r="E364" s="137"/>
      <c r="F364" s="137"/>
    </row>
    <row r="365" spans="2:6" ht="15.5">
      <c r="B365" s="122"/>
      <c r="C365" s="123"/>
      <c r="D365" s="137"/>
      <c r="E365" s="137"/>
      <c r="F365" s="137"/>
    </row>
    <row r="366" spans="2:6" ht="15.5">
      <c r="B366" s="122"/>
      <c r="C366" s="123"/>
      <c r="D366" s="137"/>
      <c r="E366" s="137"/>
      <c r="F366" s="137"/>
    </row>
    <row r="367" spans="2:6" ht="15.5">
      <c r="B367" s="122"/>
      <c r="C367" s="123"/>
      <c r="D367" s="137"/>
      <c r="E367" s="137"/>
      <c r="F367" s="137"/>
    </row>
    <row r="368" spans="2:6" ht="15.5" hidden="1">
      <c r="B368" s="122"/>
      <c r="C368" s="123"/>
      <c r="D368" s="137"/>
      <c r="E368" s="137"/>
      <c r="F368" s="137"/>
    </row>
    <row r="369" spans="2:6" ht="15.5" hidden="1">
      <c r="B369" s="122"/>
      <c r="C369" s="123"/>
      <c r="D369" s="137"/>
      <c r="E369" s="137"/>
      <c r="F369" s="137"/>
    </row>
    <row r="370" spans="2:6" ht="15.5" hidden="1">
      <c r="B370" s="122"/>
      <c r="C370" s="123"/>
      <c r="D370" s="137"/>
      <c r="E370" s="137"/>
      <c r="F370" s="137"/>
    </row>
    <row r="371" spans="2:6" ht="15.5" hidden="1">
      <c r="B371" s="122"/>
      <c r="C371" s="123"/>
      <c r="D371" s="137"/>
      <c r="E371" s="137"/>
      <c r="F371" s="137"/>
    </row>
    <row r="372" spans="2:6" ht="15.5" hidden="1">
      <c r="B372" s="122"/>
      <c r="C372" s="123"/>
      <c r="D372" s="137"/>
      <c r="E372" s="137"/>
      <c r="F372" s="137"/>
    </row>
    <row r="373" spans="2:6" ht="15.5" hidden="1">
      <c r="B373" s="122"/>
      <c r="C373" s="123"/>
      <c r="D373" s="137"/>
      <c r="E373" s="137"/>
      <c r="F373" s="137"/>
    </row>
    <row r="374" spans="2:6" ht="15.5" hidden="1">
      <c r="B374" s="122"/>
      <c r="C374" s="123"/>
      <c r="D374" s="137"/>
      <c r="E374" s="137"/>
      <c r="F374" s="137"/>
    </row>
    <row r="375" spans="2:6" ht="15.5" hidden="1">
      <c r="B375" s="122"/>
      <c r="C375" s="123"/>
      <c r="D375" s="137"/>
      <c r="E375" s="137"/>
      <c r="F375" s="137"/>
    </row>
    <row r="376" spans="2:6" ht="15.5" hidden="1">
      <c r="B376" s="122"/>
      <c r="C376" s="123"/>
      <c r="D376" s="137"/>
      <c r="E376" s="137"/>
      <c r="F376" s="137"/>
    </row>
    <row r="377" spans="2:6" ht="15.5" hidden="1">
      <c r="B377" s="122"/>
      <c r="C377" s="123"/>
      <c r="D377" s="137"/>
      <c r="E377" s="137"/>
      <c r="F377" s="137"/>
    </row>
    <row r="378" spans="2:6" ht="15.5" hidden="1">
      <c r="B378" s="122"/>
      <c r="C378" s="123"/>
      <c r="D378" s="137"/>
      <c r="E378" s="137"/>
      <c r="F378" s="137"/>
    </row>
    <row r="379" spans="2:6" ht="15.5" hidden="1">
      <c r="B379" s="122"/>
      <c r="C379" s="123"/>
      <c r="D379" s="137"/>
      <c r="E379" s="137"/>
      <c r="F379" s="137"/>
    </row>
    <row r="380" spans="2:6" ht="15.5" hidden="1">
      <c r="B380" s="122"/>
      <c r="C380" s="123"/>
      <c r="D380" s="137"/>
      <c r="E380" s="137"/>
      <c r="F380" s="137"/>
    </row>
    <row r="381" spans="2:6" ht="15.5" hidden="1">
      <c r="B381" s="122"/>
      <c r="C381" s="123"/>
      <c r="D381" s="137"/>
      <c r="E381" s="137"/>
      <c r="F381" s="137"/>
    </row>
    <row r="382" spans="2:6" ht="15.5" hidden="1">
      <c r="B382" s="122"/>
      <c r="C382" s="123"/>
      <c r="D382" s="137"/>
      <c r="E382" s="137"/>
      <c r="F382" s="137"/>
    </row>
    <row r="383" spans="2:6" ht="15.5" hidden="1">
      <c r="B383" s="122"/>
      <c r="C383" s="123"/>
      <c r="D383" s="137"/>
      <c r="E383" s="137"/>
      <c r="F383" s="137"/>
    </row>
    <row r="384" spans="2:6" ht="15.5" hidden="1">
      <c r="B384" s="122"/>
      <c r="C384" s="123"/>
      <c r="D384" s="137"/>
      <c r="E384" s="137"/>
      <c r="F384" s="137"/>
    </row>
    <row r="385" spans="2:6" ht="15.5" hidden="1">
      <c r="B385" s="122"/>
      <c r="C385" s="123"/>
      <c r="D385" s="137"/>
      <c r="E385" s="137"/>
      <c r="F385" s="137"/>
    </row>
    <row r="386" spans="2:6" ht="15.5" hidden="1">
      <c r="B386" s="122"/>
      <c r="C386" s="123"/>
      <c r="D386" s="137"/>
      <c r="E386" s="137"/>
      <c r="F386" s="137"/>
    </row>
    <row r="387" spans="2:6" ht="15.5" hidden="1">
      <c r="B387" s="122"/>
      <c r="C387" s="123"/>
      <c r="D387" s="137"/>
      <c r="E387" s="137"/>
      <c r="F387" s="137"/>
    </row>
    <row r="388" spans="2:6" ht="15.5" hidden="1">
      <c r="B388" s="122"/>
      <c r="C388" s="123"/>
      <c r="D388" s="137"/>
      <c r="E388" s="137"/>
      <c r="F388" s="137"/>
    </row>
    <row r="389" spans="2:6" ht="15.5" hidden="1">
      <c r="B389" s="122"/>
      <c r="C389" s="123"/>
      <c r="D389" s="137"/>
      <c r="E389" s="137"/>
      <c r="F389" s="137"/>
    </row>
    <row r="390" spans="2:6" ht="15.5" hidden="1">
      <c r="B390" s="122"/>
      <c r="C390" s="123"/>
      <c r="D390" s="137"/>
      <c r="E390" s="137"/>
      <c r="F390" s="137"/>
    </row>
    <row r="391" spans="2:6" ht="15.5" hidden="1">
      <c r="B391" s="122"/>
      <c r="C391" s="123"/>
      <c r="D391" s="137"/>
      <c r="E391" s="137"/>
      <c r="F391" s="137"/>
    </row>
    <row r="392" spans="2:6" ht="15.5" hidden="1">
      <c r="B392" s="122"/>
      <c r="C392" s="123"/>
      <c r="D392" s="137"/>
      <c r="E392" s="137"/>
      <c r="F392" s="137"/>
    </row>
    <row r="393" spans="2:6" ht="15.5" hidden="1">
      <c r="B393" s="122"/>
      <c r="C393" s="123"/>
      <c r="D393" s="137"/>
      <c r="E393" s="137"/>
      <c r="F393" s="137"/>
    </row>
    <row r="394" spans="2:6" ht="15.5" hidden="1">
      <c r="B394" s="122"/>
      <c r="C394" s="123"/>
      <c r="D394" s="137"/>
      <c r="E394" s="137"/>
      <c r="F394" s="137"/>
    </row>
    <row r="395" spans="2:6" ht="15.5" hidden="1">
      <c r="B395" s="122"/>
      <c r="C395" s="123"/>
      <c r="D395" s="137"/>
      <c r="E395" s="137"/>
      <c r="F395" s="137"/>
    </row>
    <row r="396" spans="2:6" ht="15.5" hidden="1">
      <c r="B396" s="122"/>
      <c r="C396" s="123"/>
      <c r="D396" s="137"/>
      <c r="E396" s="137"/>
      <c r="F396" s="137"/>
    </row>
    <row r="397" spans="2:6" ht="15.5" hidden="1">
      <c r="B397" s="122"/>
      <c r="C397" s="123"/>
      <c r="D397" s="137"/>
      <c r="E397" s="137"/>
      <c r="F397" s="137"/>
    </row>
    <row r="398" spans="2:6" ht="15.5" hidden="1">
      <c r="B398" s="122"/>
      <c r="C398" s="123"/>
      <c r="D398" s="137"/>
      <c r="E398" s="137"/>
      <c r="F398" s="137"/>
    </row>
    <row r="399" spans="2:6" ht="15.5" hidden="1">
      <c r="B399" s="122"/>
      <c r="C399" s="123"/>
      <c r="D399" s="137"/>
      <c r="E399" s="137"/>
      <c r="F399" s="137"/>
    </row>
    <row r="400" spans="2:6" ht="15.5" hidden="1">
      <c r="B400" s="122"/>
      <c r="C400" s="123"/>
      <c r="D400" s="137"/>
      <c r="E400" s="137"/>
      <c r="F400" s="137"/>
    </row>
    <row r="401" spans="1:8" ht="15.5" hidden="1">
      <c r="B401" s="122"/>
      <c r="C401" s="123"/>
      <c r="D401" s="137"/>
      <c r="E401" s="137"/>
      <c r="F401" s="137"/>
    </row>
    <row r="402" spans="1:8" ht="15.5" hidden="1">
      <c r="B402" s="122"/>
      <c r="C402" s="123"/>
      <c r="D402" s="137"/>
      <c r="E402" s="137"/>
      <c r="F402" s="137"/>
    </row>
    <row r="403" spans="1:8" ht="15.5">
      <c r="B403" s="122"/>
      <c r="C403" s="123"/>
      <c r="D403" s="137"/>
      <c r="E403" s="137"/>
      <c r="F403" s="137"/>
    </row>
    <row r="404" spans="1:8" ht="15.5">
      <c r="B404" s="122"/>
      <c r="C404" s="123"/>
      <c r="D404" s="137"/>
      <c r="E404" s="137"/>
      <c r="F404" s="137"/>
    </row>
    <row r="405" spans="1:8" ht="15.5">
      <c r="B405" s="122" t="str">
        <f>B205</f>
        <v>Mr.SHAFEEK N N</v>
      </c>
      <c r="C405" s="123" t="str">
        <f>C205</f>
        <v xml:space="preserve">M/S.SHAS DESIGN AND PRINTING </v>
      </c>
      <c r="D405" s="137"/>
      <c r="E405" s="137"/>
      <c r="F405" s="1"/>
    </row>
    <row r="406" spans="1:8" ht="15.5">
      <c r="C406" s="124" t="str">
        <f>A206</f>
        <v>NEAR POST OFFICE, NILESHWAR</v>
      </c>
      <c r="D406" s="124"/>
      <c r="E406" s="124"/>
      <c r="F406" s="124"/>
    </row>
    <row r="407" spans="1:8" ht="22.5" customHeight="1">
      <c r="C407" s="124" t="s">
        <v>562</v>
      </c>
      <c r="D407" s="124"/>
      <c r="E407" s="124"/>
      <c r="F407" s="124"/>
    </row>
    <row r="408" spans="1:8" ht="15.5">
      <c r="B408" s="122"/>
      <c r="C408" s="123"/>
      <c r="D408" s="137"/>
      <c r="E408" s="137"/>
      <c r="F408" s="1"/>
    </row>
    <row r="409" spans="1:8" ht="15.5">
      <c r="B409" s="138" t="str">
        <f>B209</f>
        <v>PARTICULARS</v>
      </c>
      <c r="C409" s="136" t="str">
        <f>C209</f>
        <v>%</v>
      </c>
      <c r="D409" s="139" t="str">
        <f>D209</f>
        <v>Rs. Ps.</v>
      </c>
      <c r="E409" s="139" t="str">
        <f>D409</f>
        <v>Rs. Ps.</v>
      </c>
      <c r="F409" s="139" t="str">
        <f>E409</f>
        <v>Rs. Ps.</v>
      </c>
    </row>
    <row r="410" spans="1:8" ht="15.5">
      <c r="B410" s="122"/>
      <c r="C410" s="123"/>
      <c r="D410" s="137"/>
      <c r="E410" s="137"/>
      <c r="F410" s="1"/>
    </row>
    <row r="411" spans="1:8" ht="15.5">
      <c r="A411" s="121"/>
      <c r="B411" s="140">
        <f>B211</f>
        <v>0</v>
      </c>
      <c r="C411" s="100"/>
      <c r="D411" s="141">
        <f>F212</f>
        <v>0</v>
      </c>
      <c r="E411" s="141">
        <f>D411</f>
        <v>0</v>
      </c>
      <c r="F411" s="141"/>
      <c r="H411" s="1"/>
    </row>
    <row r="412" spans="1:8" ht="15.5">
      <c r="A412" s="121"/>
      <c r="B412" s="147" t="s">
        <v>559</v>
      </c>
      <c r="C412" s="100">
        <v>10</v>
      </c>
      <c r="D412" s="141"/>
      <c r="E412" s="130">
        <f>E411*10/100</f>
        <v>0</v>
      </c>
      <c r="F412" s="141">
        <f>E411-E412</f>
        <v>0</v>
      </c>
      <c r="H412" s="1"/>
    </row>
    <row r="413" spans="1:8" ht="15.5">
      <c r="A413" s="121"/>
      <c r="B413" s="140">
        <f>B213</f>
        <v>0</v>
      </c>
      <c r="C413" s="100"/>
      <c r="D413" s="141">
        <f>F214</f>
        <v>0</v>
      </c>
      <c r="E413" s="141">
        <f>D413</f>
        <v>0</v>
      </c>
      <c r="F413" s="141"/>
      <c r="H413" s="1"/>
    </row>
    <row r="414" spans="1:8" ht="15.5">
      <c r="A414" s="121"/>
      <c r="B414" s="147" t="s">
        <v>559</v>
      </c>
      <c r="C414" s="100">
        <v>10</v>
      </c>
      <c r="D414" s="141"/>
      <c r="E414" s="130">
        <f>E413*10/100</f>
        <v>0</v>
      </c>
      <c r="F414" s="141">
        <f>E413-E414</f>
        <v>0</v>
      </c>
      <c r="H414" s="1"/>
    </row>
    <row r="415" spans="1:8" ht="15.5">
      <c r="A415" s="121"/>
      <c r="B415" s="140" t="str">
        <f>B215</f>
        <v xml:space="preserve">INVERTOR 3KVA </v>
      </c>
      <c r="C415" s="100"/>
      <c r="D415" s="141">
        <f>F216</f>
        <v>63000</v>
      </c>
      <c r="E415" s="141">
        <f>D415</f>
        <v>63000</v>
      </c>
      <c r="F415" s="141"/>
      <c r="H415" s="1"/>
    </row>
    <row r="416" spans="1:8" ht="15.5">
      <c r="A416" s="121"/>
      <c r="B416" s="147" t="s">
        <v>559</v>
      </c>
      <c r="C416" s="100"/>
      <c r="D416" s="141"/>
      <c r="E416" s="130">
        <f>E415*10/100</f>
        <v>6300</v>
      </c>
      <c r="F416" s="141">
        <f>E415-E416</f>
        <v>56700</v>
      </c>
      <c r="H416" s="1"/>
    </row>
    <row r="417" spans="1:8" ht="15.5" hidden="1">
      <c r="A417" s="121"/>
      <c r="B417" s="140" t="str">
        <f>B217</f>
        <v>GODREREJ A/C</v>
      </c>
      <c r="C417" s="100">
        <v>10</v>
      </c>
      <c r="D417" s="141">
        <f>F218</f>
        <v>29400</v>
      </c>
      <c r="E417" s="141">
        <f>D417</f>
        <v>29400</v>
      </c>
      <c r="F417" s="141"/>
      <c r="H417" s="1"/>
    </row>
    <row r="418" spans="1:8" ht="15.5" hidden="1">
      <c r="A418" s="121"/>
      <c r="B418" s="147" t="s">
        <v>559</v>
      </c>
      <c r="C418" s="100"/>
      <c r="D418" s="141"/>
      <c r="E418" s="130">
        <f>E417*10/100</f>
        <v>2940</v>
      </c>
      <c r="F418" s="141">
        <f>E417-E418</f>
        <v>26460</v>
      </c>
      <c r="H418" s="1"/>
    </row>
    <row r="419" spans="1:8" ht="15.5" hidden="1">
      <c r="A419" s="121"/>
      <c r="B419" s="140" t="str">
        <f>B219</f>
        <v>LLOYD A/C</v>
      </c>
      <c r="C419" s="100"/>
      <c r="D419" s="141">
        <f>F220</f>
        <v>29400</v>
      </c>
      <c r="E419" s="141">
        <f>D419</f>
        <v>29400</v>
      </c>
      <c r="F419" s="141"/>
      <c r="H419" s="1"/>
    </row>
    <row r="420" spans="1:8" ht="15.5" hidden="1">
      <c r="A420" s="121"/>
      <c r="B420" s="147" t="s">
        <v>559</v>
      </c>
      <c r="C420" s="100">
        <v>10</v>
      </c>
      <c r="D420" s="141"/>
      <c r="E420" s="130">
        <f>E419*10/100</f>
        <v>2940</v>
      </c>
      <c r="F420" s="141">
        <f>E419-E420</f>
        <v>26460</v>
      </c>
      <c r="H420" s="1"/>
    </row>
    <row r="421" spans="1:8" ht="15.5" hidden="1">
      <c r="A421" s="121"/>
      <c r="B421" s="140" t="str">
        <f>B221</f>
        <v>HALER A/C</v>
      </c>
      <c r="C421" s="100"/>
      <c r="D421" s="141">
        <f>F222</f>
        <v>33600</v>
      </c>
      <c r="E421" s="141">
        <f>D421</f>
        <v>33600</v>
      </c>
      <c r="F421" s="141"/>
      <c r="H421" s="1"/>
    </row>
    <row r="422" spans="1:8" ht="15.5" hidden="1">
      <c r="A422" s="121"/>
      <c r="B422" s="147" t="s">
        <v>559</v>
      </c>
      <c r="C422" s="100"/>
      <c r="D422" s="141"/>
      <c r="E422" s="130">
        <f>E421*10/100</f>
        <v>3360</v>
      </c>
      <c r="F422" s="141">
        <f>E421-E422</f>
        <v>30240</v>
      </c>
      <c r="H422" s="1"/>
    </row>
    <row r="423" spans="1:8" ht="15.5" hidden="1">
      <c r="A423" s="121"/>
      <c r="B423" s="140" t="str">
        <f>B223</f>
        <v>COMPUTER CHAIR , TABLE Etc.</v>
      </c>
      <c r="C423" s="100">
        <v>10</v>
      </c>
      <c r="D423" s="141">
        <f>F224</f>
        <v>71400</v>
      </c>
      <c r="E423" s="141">
        <f>D423</f>
        <v>71400</v>
      </c>
      <c r="F423" s="141"/>
      <c r="H423" s="1"/>
    </row>
    <row r="424" spans="1:8" ht="15.5" hidden="1">
      <c r="A424" s="121"/>
      <c r="B424" s="147" t="s">
        <v>559</v>
      </c>
      <c r="C424" s="100"/>
      <c r="D424" s="141"/>
      <c r="E424" s="130">
        <f>E423*10/100</f>
        <v>7140</v>
      </c>
      <c r="F424" s="141">
        <f>E423-E424</f>
        <v>64260</v>
      </c>
      <c r="H424" s="1"/>
    </row>
    <row r="425" spans="1:8" ht="15.5" hidden="1">
      <c r="A425" s="121"/>
      <c r="B425" s="140">
        <f>B225</f>
        <v>0</v>
      </c>
      <c r="C425" s="100"/>
      <c r="D425" s="141">
        <f>F226</f>
        <v>0</v>
      </c>
      <c r="E425" s="141">
        <f>D425</f>
        <v>0</v>
      </c>
      <c r="F425" s="141"/>
      <c r="H425" s="1"/>
    </row>
    <row r="426" spans="1:8" ht="15.5" hidden="1">
      <c r="A426" s="121"/>
      <c r="B426" s="147" t="s">
        <v>559</v>
      </c>
      <c r="C426" s="100">
        <v>10</v>
      </c>
      <c r="D426" s="141"/>
      <c r="E426" s="130">
        <f>E425*10/100</f>
        <v>0</v>
      </c>
      <c r="F426" s="141">
        <f>E425-E426</f>
        <v>0</v>
      </c>
      <c r="H426" s="1"/>
    </row>
    <row r="427" spans="1:8" ht="15.5" hidden="1">
      <c r="A427" s="121"/>
      <c r="B427" s="140">
        <f>B227</f>
        <v>0</v>
      </c>
      <c r="C427" s="100"/>
      <c r="D427" s="141">
        <f>F228</f>
        <v>0</v>
      </c>
      <c r="E427" s="141">
        <f>D427</f>
        <v>0</v>
      </c>
      <c r="F427" s="141"/>
      <c r="H427" s="1"/>
    </row>
    <row r="428" spans="1:8" ht="15.5" hidden="1">
      <c r="A428" s="121"/>
      <c r="B428" s="147" t="s">
        <v>559</v>
      </c>
      <c r="C428" s="100"/>
      <c r="D428" s="141"/>
      <c r="E428" s="130">
        <f>E427*10/100</f>
        <v>0</v>
      </c>
      <c r="F428" s="141">
        <f>E427-E428</f>
        <v>0</v>
      </c>
      <c r="H428" s="1"/>
    </row>
    <row r="429" spans="1:8" ht="15.5" hidden="1">
      <c r="A429" s="121"/>
      <c r="B429" s="140">
        <f>B229</f>
        <v>0</v>
      </c>
      <c r="C429" s="100"/>
      <c r="D429" s="141">
        <f>F230</f>
        <v>0</v>
      </c>
      <c r="E429" s="141">
        <f>D429</f>
        <v>0</v>
      </c>
      <c r="F429" s="141"/>
      <c r="H429" s="1"/>
    </row>
    <row r="430" spans="1:8" ht="15.5" hidden="1">
      <c r="A430" s="121"/>
      <c r="B430" s="147" t="s">
        <v>559</v>
      </c>
      <c r="C430" s="100">
        <v>10</v>
      </c>
      <c r="D430" s="141"/>
      <c r="E430" s="130">
        <f>E429*10/100</f>
        <v>0</v>
      </c>
      <c r="F430" s="141">
        <f>E429-E430</f>
        <v>0</v>
      </c>
      <c r="H430" s="1"/>
    </row>
    <row r="431" spans="1:8" ht="15.5" hidden="1">
      <c r="A431" s="121"/>
      <c r="B431" s="140">
        <f>B231</f>
        <v>0</v>
      </c>
      <c r="C431" s="100"/>
      <c r="D431" s="141">
        <f>F232</f>
        <v>0</v>
      </c>
      <c r="E431" s="141">
        <f>D431</f>
        <v>0</v>
      </c>
      <c r="F431" s="141"/>
      <c r="H431" s="1"/>
    </row>
    <row r="432" spans="1:8" ht="15.5" hidden="1">
      <c r="A432" s="121"/>
      <c r="B432" s="147" t="s">
        <v>559</v>
      </c>
      <c r="C432" s="100">
        <v>10</v>
      </c>
      <c r="D432" s="141"/>
      <c r="E432" s="130">
        <f>E431*10/100</f>
        <v>0</v>
      </c>
      <c r="F432" s="141">
        <f>E431-E432</f>
        <v>0</v>
      </c>
      <c r="H432" s="1"/>
    </row>
    <row r="433" spans="1:8" ht="15.5" hidden="1">
      <c r="A433" s="121"/>
      <c r="B433" s="140">
        <f>B233</f>
        <v>0</v>
      </c>
      <c r="C433" s="100"/>
      <c r="D433" s="141">
        <f>F234</f>
        <v>0</v>
      </c>
      <c r="E433" s="141">
        <f>D433</f>
        <v>0</v>
      </c>
      <c r="F433" s="141"/>
      <c r="H433" s="1"/>
    </row>
    <row r="434" spans="1:8" ht="15.5" hidden="1">
      <c r="A434" s="121"/>
      <c r="B434" s="147" t="s">
        <v>559</v>
      </c>
      <c r="C434" s="100"/>
      <c r="D434" s="141"/>
      <c r="E434" s="130">
        <f>E433*10/100</f>
        <v>0</v>
      </c>
      <c r="F434" s="141">
        <f>E433-E434</f>
        <v>0</v>
      </c>
      <c r="H434" s="1"/>
    </row>
    <row r="435" spans="1:8" ht="15.5" hidden="1">
      <c r="A435" s="121"/>
      <c r="B435" s="140">
        <f>B235</f>
        <v>0</v>
      </c>
      <c r="C435" s="100"/>
      <c r="D435" s="141">
        <f>F236</f>
        <v>0</v>
      </c>
      <c r="E435" s="141">
        <f>D435</f>
        <v>0</v>
      </c>
      <c r="F435" s="141"/>
      <c r="H435" s="1"/>
    </row>
    <row r="436" spans="1:8" ht="15.5" hidden="1">
      <c r="A436" s="121"/>
      <c r="B436" s="147" t="s">
        <v>559</v>
      </c>
      <c r="C436" s="100">
        <v>10</v>
      </c>
      <c r="D436" s="141"/>
      <c r="E436" s="130">
        <f>E435*10/100</f>
        <v>0</v>
      </c>
      <c r="F436" s="141">
        <f>E435-E436</f>
        <v>0</v>
      </c>
      <c r="H436" s="1"/>
    </row>
    <row r="437" spans="1:8" ht="15.5" hidden="1">
      <c r="A437" s="121"/>
      <c r="B437" s="140">
        <f>B237</f>
        <v>0</v>
      </c>
      <c r="C437" s="100"/>
      <c r="D437" s="141">
        <f>F238</f>
        <v>0</v>
      </c>
      <c r="E437" s="141">
        <f>D437</f>
        <v>0</v>
      </c>
      <c r="F437" s="141"/>
      <c r="H437" s="1"/>
    </row>
    <row r="438" spans="1:8" ht="15.5" hidden="1">
      <c r="A438" s="121"/>
      <c r="B438" s="147" t="s">
        <v>559</v>
      </c>
      <c r="C438" s="100">
        <v>10</v>
      </c>
      <c r="D438" s="141"/>
      <c r="E438" s="130">
        <f>E437*10/100</f>
        <v>0</v>
      </c>
      <c r="F438" s="141">
        <f>E437-E438</f>
        <v>0</v>
      </c>
      <c r="H438" s="1"/>
    </row>
    <row r="439" spans="1:8" ht="15.5" hidden="1">
      <c r="A439" s="121"/>
      <c r="B439" s="140">
        <f>B239</f>
        <v>0</v>
      </c>
      <c r="C439" s="100"/>
      <c r="D439" s="141">
        <f>F240</f>
        <v>0</v>
      </c>
      <c r="E439" s="141">
        <f>D439</f>
        <v>0</v>
      </c>
      <c r="F439" s="141"/>
      <c r="H439" s="1"/>
    </row>
    <row r="440" spans="1:8" ht="15.5" hidden="1">
      <c r="A440" s="121"/>
      <c r="B440" s="147" t="s">
        <v>559</v>
      </c>
      <c r="C440" s="100"/>
      <c r="D440" s="141"/>
      <c r="E440" s="130">
        <f>E439*10/100</f>
        <v>0</v>
      </c>
      <c r="F440" s="141">
        <f>E439-E440</f>
        <v>0</v>
      </c>
      <c r="H440" s="1"/>
    </row>
    <row r="441" spans="1:8" ht="15.5" hidden="1">
      <c r="A441" s="121"/>
      <c r="B441" s="140">
        <f>B241</f>
        <v>0</v>
      </c>
      <c r="C441" s="100"/>
      <c r="D441" s="141">
        <f>F242</f>
        <v>0</v>
      </c>
      <c r="E441" s="141">
        <f>D441</f>
        <v>0</v>
      </c>
      <c r="F441" s="141"/>
      <c r="H441" s="1"/>
    </row>
    <row r="442" spans="1:8" ht="15.5" hidden="1">
      <c r="A442" s="121"/>
      <c r="B442" s="147" t="s">
        <v>559</v>
      </c>
      <c r="C442" s="100">
        <v>10</v>
      </c>
      <c r="D442" s="141"/>
      <c r="E442" s="130">
        <f>E441*10/100</f>
        <v>0</v>
      </c>
      <c r="F442" s="141">
        <f>E441-E442</f>
        <v>0</v>
      </c>
      <c r="H442" s="1"/>
    </row>
    <row r="443" spans="1:8" ht="15.5" hidden="1">
      <c r="A443" s="121"/>
      <c r="B443" s="140">
        <f>B243</f>
        <v>0</v>
      </c>
      <c r="C443" s="100"/>
      <c r="D443" s="141">
        <f>F244</f>
        <v>0</v>
      </c>
      <c r="E443" s="141">
        <f>D443</f>
        <v>0</v>
      </c>
      <c r="F443" s="141"/>
      <c r="H443" s="1"/>
    </row>
    <row r="444" spans="1:8" ht="15.5" hidden="1">
      <c r="A444" s="121"/>
      <c r="B444" s="147" t="s">
        <v>560</v>
      </c>
      <c r="C444" s="100">
        <v>10</v>
      </c>
      <c r="D444" s="141"/>
      <c r="E444" s="130">
        <f>E443*10/100</f>
        <v>0</v>
      </c>
      <c r="F444" s="141">
        <f>E443-E444</f>
        <v>0</v>
      </c>
      <c r="H444" s="1"/>
    </row>
    <row r="445" spans="1:8" ht="15.5" hidden="1">
      <c r="A445" s="121"/>
      <c r="B445" s="140">
        <f>B245</f>
        <v>0</v>
      </c>
      <c r="D445" s="141">
        <f>F246</f>
        <v>0</v>
      </c>
      <c r="E445" s="141">
        <f>D445</f>
        <v>0</v>
      </c>
      <c r="F445" s="141"/>
      <c r="H445" s="1"/>
    </row>
    <row r="446" spans="1:8" ht="15.5" hidden="1">
      <c r="A446" s="121"/>
      <c r="B446" s="147" t="s">
        <v>560</v>
      </c>
      <c r="C446" s="100">
        <v>10</v>
      </c>
      <c r="D446" s="141"/>
      <c r="E446" s="130">
        <f>E445*10/100</f>
        <v>0</v>
      </c>
      <c r="F446" s="141">
        <f>E445-E446</f>
        <v>0</v>
      </c>
      <c r="H446" s="1"/>
    </row>
    <row r="447" spans="1:8" ht="15.5" hidden="1">
      <c r="A447" s="121"/>
      <c r="B447" s="140">
        <f>B247</f>
        <v>0</v>
      </c>
      <c r="C447" s="100"/>
      <c r="D447" s="141">
        <f>F248</f>
        <v>0</v>
      </c>
      <c r="E447" s="141">
        <f>D447</f>
        <v>0</v>
      </c>
      <c r="F447" s="141"/>
      <c r="H447" s="1"/>
    </row>
    <row r="448" spans="1:8" ht="15.5" hidden="1">
      <c r="A448" s="121"/>
      <c r="B448" s="147" t="s">
        <v>560</v>
      </c>
      <c r="C448" s="100">
        <v>10</v>
      </c>
      <c r="D448" s="141"/>
      <c r="E448" s="130">
        <f>E447*10/100</f>
        <v>0</v>
      </c>
      <c r="F448" s="141">
        <f>E447-E448</f>
        <v>0</v>
      </c>
      <c r="H448" s="1"/>
    </row>
    <row r="449" spans="1:11" ht="17.25" hidden="1" customHeight="1">
      <c r="A449" s="121"/>
      <c r="B449" s="140"/>
      <c r="C449" s="100"/>
      <c r="D449" s="141"/>
      <c r="E449" s="141"/>
      <c r="F449" s="141"/>
      <c r="H449" s="1"/>
    </row>
    <row r="450" spans="1:11" ht="15.5" hidden="1">
      <c r="A450" s="121"/>
      <c r="B450" s="147"/>
      <c r="C450" s="100"/>
      <c r="D450" s="141"/>
      <c r="E450" s="130"/>
      <c r="F450" s="141"/>
    </row>
    <row r="451" spans="1:11" ht="15.5" hidden="1">
      <c r="A451" s="121"/>
      <c r="B451" s="147"/>
      <c r="C451" s="100"/>
      <c r="D451" s="141"/>
      <c r="E451" s="130"/>
      <c r="F451" s="141"/>
    </row>
    <row r="452" spans="1:11" ht="15.5" hidden="1">
      <c r="A452" s="121"/>
      <c r="B452" s="147"/>
      <c r="C452" s="100"/>
      <c r="D452" s="141"/>
      <c r="E452" s="130"/>
      <c r="F452" s="141"/>
    </row>
    <row r="453" spans="1:11" ht="15.5" hidden="1">
      <c r="A453" s="121"/>
      <c r="B453" s="147"/>
      <c r="C453" s="100"/>
      <c r="D453" s="141"/>
      <c r="E453" s="130"/>
      <c r="F453" s="141"/>
    </row>
    <row r="454" spans="1:11" ht="15.5" hidden="1">
      <c r="A454" s="121"/>
      <c r="B454" s="147"/>
      <c r="C454" s="100"/>
      <c r="D454" s="141"/>
      <c r="E454" s="130"/>
      <c r="F454" s="141"/>
    </row>
    <row r="455" spans="1:11" ht="15.5" hidden="1">
      <c r="A455" s="121"/>
      <c r="B455" s="147"/>
      <c r="C455" s="100"/>
      <c r="D455" s="141"/>
      <c r="E455" s="130"/>
      <c r="F455" s="141"/>
    </row>
    <row r="456" spans="1:11" ht="15.5" hidden="1">
      <c r="A456" s="121"/>
      <c r="B456" s="147"/>
      <c r="C456" s="100"/>
      <c r="D456" s="141"/>
      <c r="E456" s="130"/>
      <c r="F456" s="141"/>
    </row>
    <row r="457" spans="1:11" ht="15.5" hidden="1">
      <c r="A457" s="121"/>
      <c r="B457" s="147"/>
      <c r="C457" s="100"/>
      <c r="D457" s="141"/>
      <c r="E457" s="130"/>
      <c r="F457" s="141"/>
    </row>
    <row r="458" spans="1:11" ht="15.5" hidden="1">
      <c r="A458" s="121"/>
      <c r="B458" s="147"/>
      <c r="C458" s="100"/>
      <c r="D458" s="141"/>
      <c r="E458" s="130"/>
      <c r="F458" s="141"/>
      <c r="I458" s="1"/>
      <c r="K458" s="1"/>
    </row>
    <row r="459" spans="1:11" ht="15.5">
      <c r="B459" s="146"/>
      <c r="C459" s="135" t="s">
        <v>263</v>
      </c>
      <c r="D459" s="139">
        <f>SUM(D411:D458)</f>
        <v>226800</v>
      </c>
      <c r="E459" s="139">
        <f>E412+E414+E416+E418+E420+E422+E424+E426+E428+E430+E432+E434+E436+E438+E440+E442+E444+E446+E450+E448</f>
        <v>22680</v>
      </c>
      <c r="F459" s="139">
        <f>SUM(F411:F458)</f>
        <v>204120</v>
      </c>
      <c r="I459" s="1"/>
      <c r="K459" s="1"/>
    </row>
    <row r="460" spans="1:11" ht="15.5">
      <c r="B460" s="122"/>
      <c r="C460" s="123"/>
      <c r="D460" s="137"/>
      <c r="E460" s="137"/>
      <c r="F460" s="137"/>
      <c r="I460" s="1"/>
      <c r="K460" s="1"/>
    </row>
    <row r="461" spans="1:11" ht="15.5">
      <c r="B461" s="122"/>
      <c r="C461" s="123"/>
      <c r="D461" s="137"/>
      <c r="E461" s="137"/>
      <c r="F461" s="137"/>
      <c r="I461" s="1"/>
      <c r="K461" s="1"/>
    </row>
    <row r="462" spans="1:11" ht="15.5">
      <c r="B462" s="122"/>
      <c r="C462" s="123"/>
      <c r="D462" s="137"/>
      <c r="E462" s="137"/>
      <c r="F462" s="137"/>
      <c r="I462" s="1"/>
      <c r="K462" s="1"/>
    </row>
    <row r="463" spans="1:11" ht="15.5">
      <c r="B463" s="122"/>
      <c r="C463" s="123"/>
      <c r="D463" s="137"/>
      <c r="E463" s="137"/>
      <c r="F463" s="137"/>
      <c r="I463" s="1"/>
      <c r="K463" s="1"/>
    </row>
    <row r="464" spans="1:11" ht="15.5">
      <c r="B464" s="122"/>
      <c r="C464" s="123"/>
      <c r="D464" s="137"/>
      <c r="E464" s="137"/>
      <c r="F464" s="137"/>
      <c r="I464" s="1"/>
      <c r="K464" s="1"/>
    </row>
    <row r="465" spans="2:11" ht="15.5">
      <c r="B465" s="122"/>
      <c r="C465" s="123"/>
      <c r="D465" s="137"/>
      <c r="E465" s="137"/>
      <c r="F465" s="137"/>
      <c r="I465" s="1"/>
      <c r="K465" s="1"/>
    </row>
    <row r="466" spans="2:11" ht="15.5">
      <c r="B466" s="122"/>
      <c r="C466" s="123"/>
      <c r="D466" s="137"/>
      <c r="E466" s="137"/>
      <c r="F466" s="137"/>
      <c r="I466" s="1"/>
      <c r="K466" s="1"/>
    </row>
    <row r="467" spans="2:11" ht="15.5" hidden="1">
      <c r="B467" s="122"/>
      <c r="C467" s="123"/>
      <c r="D467" s="137"/>
      <c r="E467" s="137"/>
      <c r="F467" s="137"/>
      <c r="I467" s="1"/>
      <c r="K467" s="1"/>
    </row>
    <row r="468" spans="2:11" ht="15.5" hidden="1">
      <c r="B468" s="122"/>
      <c r="C468" s="123"/>
      <c r="D468" s="137"/>
      <c r="E468" s="137"/>
      <c r="F468" s="137"/>
      <c r="I468" s="1"/>
      <c r="K468" s="1"/>
    </row>
    <row r="469" spans="2:11" ht="15.5" hidden="1">
      <c r="B469" s="122"/>
      <c r="C469" s="123"/>
      <c r="D469" s="137"/>
      <c r="E469" s="137"/>
      <c r="F469" s="137"/>
      <c r="I469" s="1"/>
      <c r="K469" s="1"/>
    </row>
    <row r="470" spans="2:11" ht="15.5" hidden="1">
      <c r="B470" s="122"/>
      <c r="C470" s="123"/>
      <c r="D470" s="137"/>
      <c r="E470" s="137"/>
      <c r="F470" s="137"/>
      <c r="I470" s="1"/>
      <c r="K470" s="1"/>
    </row>
    <row r="471" spans="2:11" ht="15.5" hidden="1">
      <c r="B471" s="122"/>
      <c r="C471" s="123"/>
      <c r="D471" s="137"/>
      <c r="E471" s="137"/>
      <c r="F471" s="137"/>
      <c r="I471" s="1"/>
      <c r="K471" s="1"/>
    </row>
    <row r="472" spans="2:11" ht="15.5" hidden="1">
      <c r="B472" s="122"/>
      <c r="C472" s="123"/>
      <c r="D472" s="137"/>
      <c r="E472" s="137"/>
      <c r="F472" s="137"/>
      <c r="I472" s="1"/>
      <c r="K472" s="1"/>
    </row>
    <row r="473" spans="2:11" ht="15.5" hidden="1">
      <c r="B473" s="122"/>
      <c r="C473" s="123"/>
      <c r="D473" s="137"/>
      <c r="E473" s="137"/>
      <c r="F473" s="137"/>
      <c r="I473" s="1"/>
      <c r="K473" s="1"/>
    </row>
    <row r="474" spans="2:11" ht="15.5" hidden="1">
      <c r="B474" s="122"/>
      <c r="C474" s="123"/>
      <c r="D474" s="137"/>
      <c r="E474" s="137"/>
      <c r="F474" s="137"/>
      <c r="I474" s="1"/>
      <c r="K474" s="1"/>
    </row>
    <row r="475" spans="2:11" ht="15.5" hidden="1">
      <c r="B475" s="122"/>
      <c r="C475" s="123"/>
      <c r="D475" s="137"/>
      <c r="E475" s="137"/>
      <c r="F475" s="137"/>
      <c r="I475" s="1"/>
      <c r="K475" s="1"/>
    </row>
    <row r="476" spans="2:11" ht="15.5" hidden="1">
      <c r="B476" s="122"/>
      <c r="C476" s="123"/>
      <c r="D476" s="137"/>
      <c r="E476" s="137"/>
      <c r="F476" s="137"/>
      <c r="I476" s="1"/>
      <c r="K476" s="1"/>
    </row>
    <row r="477" spans="2:11" ht="15.5" hidden="1">
      <c r="B477" s="122"/>
      <c r="C477" s="123"/>
      <c r="D477" s="137"/>
      <c r="E477" s="137"/>
      <c r="F477" s="137"/>
      <c r="I477" s="1"/>
      <c r="K477" s="1"/>
    </row>
    <row r="478" spans="2:11" ht="15.5" hidden="1">
      <c r="B478" s="122"/>
      <c r="C478" s="123"/>
      <c r="D478" s="137"/>
      <c r="E478" s="137"/>
      <c r="F478" s="137"/>
      <c r="I478" s="1"/>
      <c r="K478" s="1"/>
    </row>
    <row r="479" spans="2:11" ht="15.5" hidden="1">
      <c r="B479" s="122"/>
      <c r="C479" s="123"/>
      <c r="D479" s="137"/>
      <c r="E479" s="137"/>
      <c r="F479" s="137"/>
      <c r="I479" s="1"/>
      <c r="K479" s="1"/>
    </row>
    <row r="480" spans="2:11" ht="15.5" hidden="1">
      <c r="B480" s="122"/>
      <c r="C480" s="123"/>
      <c r="D480" s="137"/>
      <c r="E480" s="137"/>
      <c r="F480" s="137"/>
      <c r="I480" s="1"/>
      <c r="K480" s="1"/>
    </row>
    <row r="481" spans="2:11" ht="15.5" hidden="1">
      <c r="B481" s="122"/>
      <c r="C481" s="123"/>
      <c r="D481" s="137"/>
      <c r="E481" s="137"/>
      <c r="F481" s="137"/>
      <c r="I481" s="1"/>
      <c r="K481" s="1"/>
    </row>
    <row r="482" spans="2:11" ht="15.5" hidden="1">
      <c r="B482" s="122"/>
      <c r="C482" s="123"/>
      <c r="D482" s="137"/>
      <c r="E482" s="137"/>
      <c r="F482" s="137"/>
      <c r="I482" s="1"/>
      <c r="K482" s="1"/>
    </row>
    <row r="483" spans="2:11" ht="15.5" hidden="1">
      <c r="B483" s="122"/>
      <c r="C483" s="123"/>
      <c r="D483" s="137"/>
      <c r="E483" s="137"/>
      <c r="F483" s="137"/>
      <c r="I483" s="1"/>
      <c r="K483" s="1"/>
    </row>
    <row r="484" spans="2:11" ht="15.5" hidden="1">
      <c r="B484" s="122"/>
      <c r="C484" s="123"/>
      <c r="D484" s="137"/>
      <c r="E484" s="137"/>
      <c r="F484" s="137"/>
      <c r="I484" s="1"/>
      <c r="K484" s="1"/>
    </row>
    <row r="485" spans="2:11" ht="15.5" hidden="1">
      <c r="B485" s="122"/>
      <c r="C485" s="123"/>
      <c r="D485" s="137"/>
      <c r="E485" s="137"/>
      <c r="F485" s="137"/>
      <c r="I485" s="1"/>
      <c r="K485" s="1"/>
    </row>
    <row r="486" spans="2:11" ht="15.5" hidden="1">
      <c r="B486" s="122"/>
      <c r="C486" s="123"/>
      <c r="D486" s="137"/>
      <c r="E486" s="137"/>
      <c r="F486" s="137"/>
      <c r="I486" s="1"/>
      <c r="K486" s="1"/>
    </row>
    <row r="487" spans="2:11" ht="15.5" hidden="1">
      <c r="B487" s="122"/>
      <c r="C487" s="123"/>
      <c r="D487" s="137"/>
      <c r="E487" s="137"/>
      <c r="F487" s="137"/>
      <c r="I487" s="1"/>
      <c r="K487" s="1"/>
    </row>
    <row r="488" spans="2:11" ht="15.5" hidden="1">
      <c r="B488" s="122"/>
      <c r="C488" s="123"/>
      <c r="D488" s="137"/>
      <c r="E488" s="137"/>
      <c r="F488" s="137"/>
      <c r="I488" s="1"/>
      <c r="K488" s="1"/>
    </row>
    <row r="489" spans="2:11" ht="15.5" hidden="1">
      <c r="B489" s="122"/>
      <c r="C489" s="123"/>
      <c r="D489" s="137"/>
      <c r="E489" s="137"/>
      <c r="F489" s="137"/>
      <c r="I489" s="1"/>
      <c r="K489" s="1"/>
    </row>
    <row r="490" spans="2:11" ht="15.5" hidden="1">
      <c r="B490" s="122"/>
      <c r="C490" s="123"/>
      <c r="D490" s="137"/>
      <c r="E490" s="137"/>
      <c r="F490" s="137"/>
      <c r="I490" s="1"/>
      <c r="K490" s="1"/>
    </row>
    <row r="491" spans="2:11" ht="15.5">
      <c r="B491" s="122"/>
      <c r="C491" s="123"/>
      <c r="D491" s="137"/>
      <c r="E491" s="137"/>
      <c r="F491" s="137"/>
      <c r="I491" s="1"/>
      <c r="K491" s="1"/>
    </row>
    <row r="492" spans="2:11" ht="15.5">
      <c r="B492" s="122"/>
      <c r="C492" s="123"/>
      <c r="D492" s="137"/>
      <c r="E492" s="137"/>
      <c r="F492" s="137"/>
      <c r="I492" s="1"/>
      <c r="K492" s="1"/>
    </row>
    <row r="493" spans="2:11" ht="15.5">
      <c r="B493" s="122"/>
      <c r="C493" s="123"/>
      <c r="D493" s="137"/>
      <c r="E493" s="137"/>
      <c r="F493" s="137"/>
      <c r="I493" s="1"/>
      <c r="K493" s="1"/>
    </row>
    <row r="494" spans="2:11" ht="15.5">
      <c r="B494" s="122"/>
      <c r="C494" s="123"/>
      <c r="D494" s="137"/>
      <c r="E494" s="137"/>
      <c r="F494" s="137"/>
      <c r="I494" s="1"/>
      <c r="K494" s="1"/>
    </row>
    <row r="495" spans="2:11" ht="15.5">
      <c r="B495" s="122"/>
      <c r="C495" s="123"/>
      <c r="D495" s="137"/>
      <c r="E495" s="137"/>
      <c r="F495" s="137"/>
      <c r="I495" s="1"/>
      <c r="K495" s="1"/>
    </row>
    <row r="496" spans="2:11" ht="15.5">
      <c r="B496" s="122"/>
      <c r="C496" s="123"/>
      <c r="D496" s="137"/>
      <c r="E496" s="137"/>
      <c r="F496" s="137"/>
      <c r="I496" s="1"/>
      <c r="K496" s="1"/>
    </row>
    <row r="497" spans="2:11" ht="15.5">
      <c r="B497" s="122"/>
      <c r="C497" s="123"/>
      <c r="D497" s="137"/>
      <c r="E497" s="137"/>
      <c r="F497" s="137"/>
      <c r="I497" s="1"/>
      <c r="K497" s="1"/>
    </row>
    <row r="498" spans="2:11" ht="15.5">
      <c r="B498" s="122"/>
      <c r="C498" s="123"/>
      <c r="D498" s="137"/>
      <c r="E498" s="137"/>
      <c r="F498" s="137"/>
      <c r="I498" s="1"/>
      <c r="K498" s="1"/>
    </row>
    <row r="499" spans="2:11" ht="15.5">
      <c r="B499" s="122"/>
      <c r="C499" s="123"/>
      <c r="D499" s="137"/>
      <c r="E499" s="137"/>
      <c r="F499" s="137"/>
      <c r="I499" s="1"/>
      <c r="K499" s="1"/>
    </row>
    <row r="500" spans="2:11" ht="15.5">
      <c r="B500" s="122"/>
      <c r="C500" s="123"/>
      <c r="D500" s="137"/>
      <c r="E500" s="137"/>
      <c r="F500" s="137"/>
      <c r="I500" s="1"/>
      <c r="K500" s="1"/>
    </row>
    <row r="501" spans="2:11" ht="15.5">
      <c r="B501" s="122"/>
      <c r="C501" s="123"/>
      <c r="D501" s="137"/>
      <c r="E501" s="137"/>
      <c r="F501" s="137"/>
      <c r="I501" s="1"/>
      <c r="K501" s="1"/>
    </row>
    <row r="502" spans="2:11" ht="15.5">
      <c r="B502" s="122"/>
      <c r="C502" s="123"/>
      <c r="D502" s="137"/>
      <c r="E502" s="137"/>
      <c r="F502" s="137"/>
      <c r="I502" s="1"/>
      <c r="K502" s="1"/>
    </row>
    <row r="503" spans="2:11" ht="15.5">
      <c r="B503" s="122"/>
      <c r="C503" s="123"/>
      <c r="D503" s="137"/>
      <c r="E503" s="137"/>
      <c r="F503" s="137"/>
      <c r="I503" s="1"/>
      <c r="K503" s="1"/>
    </row>
    <row r="504" spans="2:11" ht="15.5">
      <c r="B504" s="122"/>
      <c r="C504" s="123"/>
      <c r="D504" s="137"/>
      <c r="E504" s="137"/>
      <c r="F504" s="137"/>
      <c r="I504" s="1"/>
      <c r="K504" s="1"/>
    </row>
    <row r="505" spans="2:11" ht="15.5">
      <c r="B505" s="122"/>
      <c r="C505" s="123"/>
      <c r="D505" s="137"/>
      <c r="E505" s="137"/>
      <c r="F505" s="137"/>
      <c r="I505" s="1"/>
      <c r="K505" s="1"/>
    </row>
    <row r="506" spans="2:11" ht="15.5">
      <c r="B506" s="122"/>
      <c r="C506" s="123"/>
      <c r="D506" s="137"/>
      <c r="E506" s="137"/>
      <c r="F506" s="137"/>
      <c r="I506" s="1"/>
      <c r="K506" s="1"/>
    </row>
    <row r="507" spans="2:11" ht="15.5">
      <c r="B507" s="122"/>
      <c r="C507" s="123"/>
      <c r="D507" s="137"/>
      <c r="E507" s="137"/>
      <c r="F507" s="137"/>
      <c r="I507" s="1"/>
      <c r="K507" s="1"/>
    </row>
    <row r="508" spans="2:11" ht="15.5">
      <c r="B508" s="122"/>
      <c r="C508" s="123"/>
      <c r="D508" s="137"/>
      <c r="E508" s="137"/>
      <c r="F508" s="137"/>
      <c r="I508" s="1"/>
      <c r="K508" s="1"/>
    </row>
    <row r="509" spans="2:11" ht="15.5">
      <c r="B509" s="122"/>
      <c r="C509" s="123"/>
      <c r="D509" s="137"/>
      <c r="E509" s="137"/>
      <c r="F509" s="137"/>
      <c r="I509" s="1"/>
      <c r="K509" s="1"/>
    </row>
    <row r="510" spans="2:11" ht="15.5">
      <c r="B510" s="122"/>
      <c r="C510" s="123"/>
      <c r="D510" s="137"/>
      <c r="E510" s="137"/>
      <c r="F510" s="137"/>
      <c r="I510" s="1"/>
      <c r="K510" s="1"/>
    </row>
    <row r="511" spans="2:11" ht="15.5">
      <c r="B511" s="122"/>
      <c r="C511" s="123"/>
      <c r="D511" s="137"/>
      <c r="E511" s="137"/>
      <c r="F511" s="137"/>
      <c r="I511" s="1"/>
      <c r="K511" s="1"/>
    </row>
    <row r="512" spans="2:11" ht="15.5">
      <c r="B512" s="122"/>
      <c r="C512" s="123"/>
      <c r="D512" s="137"/>
      <c r="E512" s="137"/>
      <c r="F512" s="137"/>
      <c r="I512" s="1"/>
      <c r="K512" s="1"/>
    </row>
    <row r="513" spans="2:11" ht="15.5">
      <c r="B513" s="122"/>
      <c r="C513" s="123"/>
      <c r="D513" s="137"/>
      <c r="E513" s="137"/>
      <c r="F513" s="137"/>
      <c r="I513" s="1"/>
      <c r="K513" s="1"/>
    </row>
    <row r="514" spans="2:11" ht="15.5">
      <c r="B514" s="122"/>
      <c r="C514" s="123"/>
      <c r="D514" s="137"/>
      <c r="E514" s="137"/>
      <c r="F514" s="137"/>
      <c r="I514" s="1"/>
      <c r="K514" s="1"/>
    </row>
    <row r="515" spans="2:11" ht="15.5">
      <c r="B515" s="122"/>
      <c r="C515" s="123"/>
      <c r="D515" s="137"/>
      <c r="E515" s="137"/>
      <c r="F515" s="137"/>
      <c r="I515" s="1"/>
      <c r="K515" s="1"/>
    </row>
    <row r="516" spans="2:11" ht="15.5" hidden="1">
      <c r="B516" s="122"/>
      <c r="C516" s="123"/>
      <c r="D516" s="137"/>
      <c r="E516" s="137"/>
      <c r="F516" s="137"/>
      <c r="I516" s="1"/>
      <c r="K516" s="1"/>
    </row>
    <row r="517" spans="2:11" ht="15.5" hidden="1">
      <c r="B517" s="122"/>
      <c r="C517" s="123"/>
      <c r="D517" s="137"/>
      <c r="E517" s="137"/>
      <c r="F517" s="137"/>
      <c r="I517" s="1"/>
      <c r="K517" s="1"/>
    </row>
    <row r="518" spans="2:11" ht="15.5" hidden="1">
      <c r="B518" s="122"/>
      <c r="C518" s="123"/>
      <c r="D518" s="137"/>
      <c r="E518" s="137"/>
      <c r="F518" s="137"/>
      <c r="I518" s="1"/>
      <c r="K518" s="1"/>
    </row>
    <row r="519" spans="2:11" ht="15.5" hidden="1">
      <c r="B519" s="122"/>
      <c r="C519" s="123"/>
      <c r="D519" s="137"/>
      <c r="E519" s="137"/>
      <c r="F519" s="137"/>
      <c r="I519" s="1"/>
      <c r="K519" s="1"/>
    </row>
    <row r="520" spans="2:11" ht="15.5" hidden="1">
      <c r="B520" s="122"/>
      <c r="C520" s="123"/>
      <c r="D520" s="137"/>
      <c r="E520" s="137"/>
      <c r="F520" s="137"/>
      <c r="I520" s="1"/>
      <c r="K520" s="1"/>
    </row>
    <row r="521" spans="2:11" ht="15.5" hidden="1">
      <c r="B521" s="122"/>
      <c r="C521" s="123"/>
      <c r="D521" s="137"/>
      <c r="E521" s="137"/>
      <c r="F521" s="137"/>
      <c r="I521" s="1"/>
      <c r="K521" s="1"/>
    </row>
    <row r="522" spans="2:11" ht="15.5" hidden="1">
      <c r="B522" s="122"/>
      <c r="C522" s="123"/>
      <c r="D522" s="137"/>
      <c r="E522" s="137"/>
      <c r="F522" s="137"/>
      <c r="I522" s="1"/>
      <c r="K522" s="1"/>
    </row>
    <row r="523" spans="2:11" ht="15.5" hidden="1">
      <c r="B523" s="122"/>
      <c r="C523" s="123"/>
      <c r="D523" s="137"/>
      <c r="E523" s="137"/>
      <c r="F523" s="137"/>
      <c r="I523" s="1"/>
      <c r="K523" s="1"/>
    </row>
    <row r="524" spans="2:11" ht="15.5" hidden="1">
      <c r="B524" s="122"/>
      <c r="C524" s="123"/>
      <c r="D524" s="137"/>
      <c r="E524" s="137"/>
      <c r="F524" s="137"/>
      <c r="I524" s="1"/>
      <c r="K524" s="1"/>
    </row>
    <row r="525" spans="2:11" ht="15.5" hidden="1">
      <c r="B525" s="122"/>
      <c r="C525" s="123"/>
      <c r="D525" s="137"/>
      <c r="E525" s="137"/>
      <c r="F525" s="137"/>
      <c r="I525" s="1"/>
      <c r="K525" s="1"/>
    </row>
    <row r="526" spans="2:11" ht="15.5" hidden="1">
      <c r="B526" s="122"/>
      <c r="C526" s="123"/>
      <c r="D526" s="137"/>
      <c r="E526" s="137"/>
      <c r="F526" s="137"/>
      <c r="I526" s="1"/>
      <c r="K526" s="1"/>
    </row>
    <row r="527" spans="2:11" ht="15.5" hidden="1">
      <c r="B527" s="122"/>
      <c r="C527" s="123"/>
      <c r="D527" s="137"/>
      <c r="E527" s="137"/>
      <c r="F527" s="137"/>
      <c r="I527" s="1"/>
      <c r="K527" s="1"/>
    </row>
    <row r="528" spans="2:11" ht="15.5" hidden="1">
      <c r="B528" s="122"/>
      <c r="C528" s="123"/>
      <c r="D528" s="137"/>
      <c r="E528" s="137"/>
      <c r="F528" s="137"/>
      <c r="I528" s="1"/>
      <c r="K528" s="1"/>
    </row>
    <row r="529" spans="2:11" ht="15.5" hidden="1">
      <c r="B529" s="122"/>
      <c r="C529" s="123"/>
      <c r="D529" s="137"/>
      <c r="E529" s="137"/>
      <c r="F529" s="137"/>
      <c r="I529" s="1"/>
      <c r="K529" s="1"/>
    </row>
    <row r="530" spans="2:11" ht="15.5" hidden="1">
      <c r="B530" s="122"/>
      <c r="C530" s="123"/>
      <c r="D530" s="137"/>
      <c r="E530" s="137"/>
      <c r="F530" s="137"/>
      <c r="I530" s="1"/>
      <c r="K530" s="1"/>
    </row>
    <row r="531" spans="2:11" ht="15.5" hidden="1">
      <c r="B531" s="122"/>
      <c r="C531" s="123"/>
      <c r="D531" s="137"/>
      <c r="E531" s="137"/>
      <c r="F531" s="137"/>
      <c r="I531" s="1"/>
      <c r="K531" s="1"/>
    </row>
    <row r="532" spans="2:11" ht="15.5" hidden="1">
      <c r="B532" s="122"/>
      <c r="C532" s="123"/>
      <c r="D532" s="137"/>
      <c r="E532" s="137"/>
      <c r="F532" s="137"/>
      <c r="I532" s="1"/>
      <c r="K532" s="1"/>
    </row>
    <row r="533" spans="2:11" ht="15.5" hidden="1">
      <c r="B533" s="122"/>
      <c r="C533" s="123"/>
      <c r="D533" s="137"/>
      <c r="E533" s="137"/>
      <c r="F533" s="137"/>
      <c r="I533" s="1"/>
      <c r="K533" s="1"/>
    </row>
    <row r="534" spans="2:11" ht="15.5" hidden="1">
      <c r="B534" s="122"/>
      <c r="C534" s="123"/>
      <c r="D534" s="137"/>
      <c r="E534" s="137"/>
      <c r="F534" s="137"/>
      <c r="I534" s="1"/>
      <c r="K534" s="1"/>
    </row>
    <row r="535" spans="2:11" ht="15.5" hidden="1">
      <c r="B535" s="122"/>
      <c r="C535" s="123"/>
      <c r="D535" s="137"/>
      <c r="E535" s="137"/>
      <c r="F535" s="137"/>
      <c r="I535" s="1"/>
      <c r="K535" s="1"/>
    </row>
    <row r="536" spans="2:11" ht="15.5" hidden="1">
      <c r="B536" s="122"/>
      <c r="C536" s="123"/>
      <c r="D536" s="137"/>
      <c r="E536" s="137"/>
      <c r="F536" s="137"/>
      <c r="I536" s="1"/>
      <c r="K536" s="1"/>
    </row>
    <row r="537" spans="2:11" ht="15.5" hidden="1">
      <c r="B537" s="122"/>
      <c r="C537" s="123"/>
      <c r="D537" s="137"/>
      <c r="E537" s="137"/>
      <c r="F537" s="137"/>
      <c r="I537" s="1"/>
      <c r="K537" s="1"/>
    </row>
    <row r="538" spans="2:11" ht="15.5" hidden="1">
      <c r="B538" s="122"/>
      <c r="C538" s="123"/>
      <c r="D538" s="137"/>
      <c r="E538" s="137"/>
      <c r="F538" s="137"/>
      <c r="I538" s="1"/>
      <c r="K538" s="1"/>
    </row>
    <row r="539" spans="2:11" ht="15.5" hidden="1">
      <c r="B539" s="122"/>
      <c r="C539" s="123"/>
      <c r="D539" s="137"/>
      <c r="E539" s="137"/>
      <c r="F539" s="137"/>
      <c r="I539" s="1"/>
      <c r="K539" s="1"/>
    </row>
    <row r="540" spans="2:11" ht="15.5" hidden="1">
      <c r="B540" s="122"/>
      <c r="C540" s="123"/>
      <c r="D540" s="137"/>
      <c r="E540" s="137"/>
      <c r="F540" s="137"/>
      <c r="I540" s="1"/>
      <c r="K540" s="1"/>
    </row>
    <row r="541" spans="2:11" ht="15.5" hidden="1">
      <c r="B541" s="122"/>
      <c r="C541" s="123"/>
      <c r="D541" s="137"/>
      <c r="E541" s="137"/>
      <c r="F541" s="137"/>
      <c r="I541" s="1"/>
      <c r="K541" s="1"/>
    </row>
    <row r="542" spans="2:11" ht="15.5" hidden="1">
      <c r="B542" s="122"/>
      <c r="C542" s="123"/>
      <c r="D542" s="137"/>
      <c r="E542" s="137"/>
      <c r="F542" s="137"/>
      <c r="I542" s="1"/>
      <c r="K542" s="1"/>
    </row>
    <row r="543" spans="2:11" ht="15.5" hidden="1">
      <c r="B543" s="122"/>
      <c r="C543" s="123"/>
      <c r="D543" s="137"/>
      <c r="E543" s="137"/>
      <c r="F543" s="137"/>
      <c r="I543" s="1"/>
      <c r="K543" s="1"/>
    </row>
    <row r="544" spans="2:11" ht="15.5" hidden="1">
      <c r="B544" s="122"/>
      <c r="C544" s="123"/>
      <c r="D544" s="137"/>
      <c r="E544" s="137"/>
      <c r="F544" s="137"/>
      <c r="I544" s="1"/>
      <c r="K544" s="1"/>
    </row>
    <row r="545" spans="2:11" ht="15.5" hidden="1">
      <c r="B545" s="122"/>
      <c r="C545" s="123"/>
      <c r="D545" s="137"/>
      <c r="E545" s="137"/>
      <c r="F545" s="137"/>
      <c r="I545" s="1"/>
      <c r="K545" s="1"/>
    </row>
    <row r="546" spans="2:11" ht="15.5" hidden="1">
      <c r="B546" s="122"/>
      <c r="C546" s="123"/>
      <c r="D546" s="137"/>
      <c r="E546" s="137"/>
      <c r="F546" s="137"/>
      <c r="I546" s="1"/>
      <c r="K546" s="1"/>
    </row>
    <row r="547" spans="2:11" ht="15.5" hidden="1">
      <c r="B547" s="122"/>
      <c r="C547" s="123"/>
      <c r="D547" s="137"/>
      <c r="E547" s="137"/>
      <c r="F547" s="137"/>
      <c r="I547" s="1"/>
      <c r="K547" s="1"/>
    </row>
    <row r="548" spans="2:11" ht="15.5" hidden="1">
      <c r="B548" s="122"/>
      <c r="C548" s="123"/>
      <c r="D548" s="137"/>
      <c r="E548" s="137"/>
      <c r="F548" s="137"/>
      <c r="I548" s="1"/>
      <c r="K548" s="1"/>
    </row>
    <row r="549" spans="2:11" ht="15.5" hidden="1">
      <c r="B549" s="122"/>
      <c r="C549" s="123"/>
      <c r="D549" s="137"/>
      <c r="E549" s="137"/>
      <c r="F549" s="137"/>
      <c r="I549" s="1"/>
      <c r="K549" s="1"/>
    </row>
    <row r="550" spans="2:11" ht="15.5" hidden="1">
      <c r="B550" s="122"/>
      <c r="C550" s="123"/>
      <c r="D550" s="137"/>
      <c r="E550" s="137"/>
      <c r="F550" s="137"/>
      <c r="I550" s="1"/>
      <c r="K550" s="1"/>
    </row>
    <row r="551" spans="2:11" ht="15.5" hidden="1">
      <c r="B551" s="122"/>
      <c r="C551" s="123"/>
      <c r="D551" s="137"/>
      <c r="E551" s="137"/>
      <c r="F551" s="137"/>
      <c r="I551" s="1"/>
      <c r="K551" s="1"/>
    </row>
    <row r="552" spans="2:11" ht="15.5" hidden="1">
      <c r="B552" s="122"/>
      <c r="C552" s="123"/>
      <c r="D552" s="137"/>
      <c r="E552" s="137"/>
      <c r="F552" s="137"/>
      <c r="I552" s="1"/>
      <c r="K552" s="1"/>
    </row>
    <row r="553" spans="2:11" ht="15.5" hidden="1">
      <c r="B553" s="122"/>
      <c r="C553" s="123"/>
      <c r="D553" s="137"/>
      <c r="E553" s="137"/>
      <c r="F553" s="137"/>
      <c r="I553" s="1"/>
      <c r="K553" s="1"/>
    </row>
    <row r="554" spans="2:11" ht="15.5" hidden="1">
      <c r="B554" s="122"/>
      <c r="C554" s="123"/>
      <c r="D554" s="137"/>
      <c r="E554" s="137"/>
      <c r="F554" s="137"/>
      <c r="I554" s="1"/>
      <c r="K554" s="1"/>
    </row>
    <row r="555" spans="2:11" ht="15.5" hidden="1">
      <c r="B555" s="122"/>
      <c r="C555" s="123"/>
      <c r="D555" s="137"/>
      <c r="E555" s="137"/>
      <c r="F555" s="137"/>
      <c r="I555" s="1"/>
      <c r="K555" s="1"/>
    </row>
    <row r="556" spans="2:11" ht="15.5" hidden="1">
      <c r="B556" s="122"/>
      <c r="C556" s="123"/>
      <c r="D556" s="137"/>
      <c r="E556" s="137"/>
      <c r="F556" s="137"/>
      <c r="I556" s="1"/>
      <c r="K556" s="1"/>
    </row>
    <row r="557" spans="2:11" ht="15.5" hidden="1">
      <c r="B557" s="122"/>
      <c r="C557" s="123"/>
      <c r="D557" s="137"/>
      <c r="E557" s="137"/>
      <c r="F557" s="137"/>
      <c r="I557" s="1"/>
      <c r="K557" s="1"/>
    </row>
    <row r="558" spans="2:11" ht="15.5" hidden="1">
      <c r="B558" s="122"/>
      <c r="C558" s="123"/>
      <c r="D558" s="137"/>
      <c r="E558" s="137"/>
      <c r="F558" s="137"/>
      <c r="I558" s="1"/>
      <c r="K558" s="1"/>
    </row>
    <row r="559" spans="2:11" ht="15.5" hidden="1">
      <c r="B559" s="122"/>
      <c r="C559" s="123"/>
      <c r="D559" s="137"/>
      <c r="E559" s="137"/>
      <c r="F559" s="137"/>
      <c r="I559" s="1"/>
      <c r="K559" s="1"/>
    </row>
    <row r="560" spans="2:11" ht="15.5" hidden="1">
      <c r="B560" s="122"/>
      <c r="C560" s="123"/>
      <c r="D560" s="137"/>
      <c r="E560" s="137"/>
      <c r="F560" s="137"/>
      <c r="I560" s="1"/>
      <c r="K560" s="1"/>
    </row>
    <row r="561" spans="2:11" ht="15.5" hidden="1">
      <c r="B561" s="122"/>
      <c r="C561" s="123"/>
      <c r="D561" s="137"/>
      <c r="E561" s="137"/>
      <c r="F561" s="137"/>
      <c r="I561" s="1"/>
      <c r="K561" s="1"/>
    </row>
    <row r="562" spans="2:11" ht="15.5" hidden="1">
      <c r="B562" s="122"/>
      <c r="C562" s="123"/>
      <c r="D562" s="137"/>
      <c r="E562" s="137"/>
      <c r="F562" s="137"/>
      <c r="I562" s="1"/>
      <c r="K562" s="1"/>
    </row>
    <row r="563" spans="2:11" ht="15.5" hidden="1">
      <c r="B563" s="122"/>
      <c r="C563" s="123"/>
      <c r="D563" s="137"/>
      <c r="E563" s="137"/>
      <c r="F563" s="137"/>
      <c r="I563" s="1"/>
      <c r="K563" s="1"/>
    </row>
    <row r="564" spans="2:11" ht="15.5" hidden="1">
      <c r="B564" s="122"/>
      <c r="C564" s="123"/>
      <c r="D564" s="137"/>
      <c r="E564" s="137"/>
      <c r="F564" s="137"/>
      <c r="I564" s="1"/>
      <c r="K564" s="1"/>
    </row>
    <row r="565" spans="2:11" ht="15.5" hidden="1">
      <c r="B565" s="122"/>
      <c r="C565" s="123"/>
      <c r="D565" s="137"/>
      <c r="E565" s="137"/>
      <c r="F565" s="137"/>
      <c r="I565" s="1"/>
      <c r="K565" s="1"/>
    </row>
    <row r="566" spans="2:11" ht="15.5" hidden="1">
      <c r="B566" s="122"/>
      <c r="C566" s="123"/>
      <c r="D566" s="137"/>
      <c r="E566" s="137"/>
      <c r="F566" s="137"/>
      <c r="I566" s="1"/>
      <c r="K566" s="1"/>
    </row>
    <row r="567" spans="2:11" ht="15.5" hidden="1">
      <c r="B567" s="122"/>
      <c r="C567" s="123"/>
      <c r="D567" s="137"/>
      <c r="E567" s="137"/>
      <c r="F567" s="137"/>
      <c r="I567" s="1"/>
      <c r="K567" s="1"/>
    </row>
    <row r="568" spans="2:11" ht="15.5" hidden="1">
      <c r="B568" s="122"/>
      <c r="C568" s="123"/>
      <c r="D568" s="137"/>
      <c r="E568" s="137"/>
      <c r="F568" s="137"/>
      <c r="I568" s="1"/>
      <c r="K568" s="1"/>
    </row>
    <row r="569" spans="2:11" ht="15.5" hidden="1">
      <c r="B569" s="122"/>
      <c r="C569" s="123"/>
      <c r="D569" s="137"/>
      <c r="E569" s="137"/>
      <c r="F569" s="137"/>
      <c r="I569" s="1"/>
      <c r="K569" s="1"/>
    </row>
    <row r="570" spans="2:11" ht="15.5" hidden="1">
      <c r="B570" s="122"/>
      <c r="C570" s="123"/>
      <c r="D570" s="137"/>
      <c r="E570" s="137"/>
      <c r="F570" s="137"/>
      <c r="I570" s="1"/>
      <c r="K570" s="1"/>
    </row>
    <row r="571" spans="2:11" ht="15.5" hidden="1">
      <c r="B571" s="122"/>
      <c r="C571" s="123"/>
      <c r="D571" s="137"/>
      <c r="E571" s="137"/>
      <c r="F571" s="137"/>
      <c r="I571" s="1"/>
      <c r="K571" s="1"/>
    </row>
    <row r="572" spans="2:11" ht="15.5" hidden="1">
      <c r="B572" s="122"/>
      <c r="C572" s="123"/>
      <c r="D572" s="137"/>
      <c r="E572" s="137"/>
      <c r="F572" s="137"/>
      <c r="I572" s="1"/>
      <c r="K572" s="1"/>
    </row>
    <row r="573" spans="2:11" ht="15.5" hidden="1">
      <c r="B573" s="122"/>
      <c r="C573" s="123"/>
      <c r="D573" s="137"/>
      <c r="E573" s="137"/>
      <c r="F573" s="137"/>
      <c r="I573" s="1"/>
      <c r="K573" s="1"/>
    </row>
    <row r="574" spans="2:11" ht="15.5" hidden="1">
      <c r="B574" s="122"/>
      <c r="C574" s="123"/>
      <c r="D574" s="137"/>
      <c r="E574" s="137"/>
      <c r="F574" s="137"/>
      <c r="I574" s="1"/>
      <c r="K574" s="1"/>
    </row>
    <row r="575" spans="2:11" ht="15.5" hidden="1">
      <c r="B575" s="122"/>
      <c r="C575" s="123"/>
      <c r="D575" s="137"/>
      <c r="E575" s="137"/>
      <c r="F575" s="137"/>
      <c r="I575" s="1"/>
      <c r="K575" s="1"/>
    </row>
    <row r="576" spans="2:11" ht="15.5" hidden="1">
      <c r="B576" s="122"/>
      <c r="C576" s="123"/>
      <c r="D576" s="137"/>
      <c r="E576" s="137"/>
      <c r="F576" s="137"/>
      <c r="I576" s="1"/>
      <c r="K576" s="1"/>
    </row>
    <row r="577" spans="2:11" ht="15.5" hidden="1">
      <c r="B577" s="122"/>
      <c r="C577" s="123"/>
      <c r="D577" s="137"/>
      <c r="E577" s="137"/>
      <c r="F577" s="137"/>
      <c r="I577" s="1"/>
      <c r="K577" s="1"/>
    </row>
    <row r="578" spans="2:11" ht="15.5" hidden="1">
      <c r="B578" s="122"/>
      <c r="C578" s="123"/>
      <c r="D578" s="137"/>
      <c r="E578" s="137"/>
      <c r="F578" s="137"/>
      <c r="I578" s="1"/>
      <c r="K578" s="1"/>
    </row>
    <row r="579" spans="2:11" ht="15.5" hidden="1">
      <c r="B579" s="122"/>
      <c r="C579" s="123"/>
      <c r="D579" s="137"/>
      <c r="E579" s="137"/>
      <c r="F579" s="137"/>
      <c r="I579" s="1"/>
      <c r="K579" s="1"/>
    </row>
    <row r="580" spans="2:11" ht="15.5" hidden="1">
      <c r="B580" s="122"/>
      <c r="C580" s="123"/>
      <c r="D580" s="137"/>
      <c r="E580" s="137"/>
      <c r="F580" s="137"/>
      <c r="I580" s="1"/>
      <c r="K580" s="1"/>
    </row>
    <row r="581" spans="2:11" ht="15.5" hidden="1">
      <c r="B581" s="122"/>
      <c r="C581" s="123"/>
      <c r="D581" s="137"/>
      <c r="E581" s="137"/>
      <c r="F581" s="137"/>
      <c r="I581" s="1"/>
      <c r="K581" s="1"/>
    </row>
    <row r="582" spans="2:11" ht="15.5" hidden="1">
      <c r="B582" s="122"/>
      <c r="C582" s="123"/>
      <c r="D582" s="137"/>
      <c r="E582" s="137"/>
      <c r="F582" s="137"/>
      <c r="I582" s="1"/>
      <c r="K582" s="1"/>
    </row>
    <row r="583" spans="2:11" ht="15.5" hidden="1">
      <c r="B583" s="122"/>
      <c r="C583" s="123"/>
      <c r="D583" s="137"/>
      <c r="E583" s="137"/>
      <c r="F583" s="137"/>
      <c r="I583" s="1"/>
      <c r="K583" s="1"/>
    </row>
    <row r="584" spans="2:11" ht="15.5" hidden="1">
      <c r="B584" s="122"/>
      <c r="C584" s="123"/>
      <c r="D584" s="137"/>
      <c r="E584" s="137"/>
      <c r="F584" s="137"/>
      <c r="I584" s="1"/>
      <c r="K584" s="1"/>
    </row>
    <row r="585" spans="2:11" ht="15.5" hidden="1">
      <c r="B585" s="122"/>
      <c r="C585" s="123"/>
      <c r="D585" s="137"/>
      <c r="E585" s="137"/>
      <c r="F585" s="137"/>
      <c r="I585" s="1"/>
      <c r="K585" s="1"/>
    </row>
    <row r="586" spans="2:11" ht="15.5" hidden="1">
      <c r="B586" s="122"/>
      <c r="C586" s="123"/>
      <c r="D586" s="137"/>
      <c r="E586" s="137"/>
      <c r="F586" s="137"/>
      <c r="I586" s="1"/>
      <c r="K586" s="1"/>
    </row>
    <row r="587" spans="2:11" ht="15.5">
      <c r="B587" s="122"/>
      <c r="C587" s="123"/>
      <c r="D587" s="137"/>
      <c r="E587" s="137"/>
      <c r="F587" s="137"/>
      <c r="I587" s="1"/>
      <c r="K587" s="1"/>
    </row>
    <row r="588" spans="2:11" ht="15.5">
      <c r="B588" s="122"/>
      <c r="C588" s="123"/>
      <c r="D588" s="137"/>
      <c r="E588" s="137"/>
      <c r="F588" s="137"/>
      <c r="I588" s="1"/>
      <c r="K588" s="1"/>
    </row>
    <row r="589" spans="2:11" ht="15.5">
      <c r="B589" s="122"/>
      <c r="C589" s="123"/>
      <c r="D589" s="137"/>
      <c r="E589" s="137"/>
      <c r="F589" s="137"/>
      <c r="I589" s="1"/>
      <c r="K589" s="1"/>
    </row>
    <row r="590" spans="2:11" ht="15.5">
      <c r="B590" s="122"/>
      <c r="C590" s="123"/>
      <c r="D590" s="137"/>
      <c r="E590" s="137"/>
      <c r="F590" s="137"/>
    </row>
    <row r="591" spans="2:11" ht="15.5">
      <c r="B591" s="122" t="str">
        <f>B16</f>
        <v>Mr.SHAFEEK N N</v>
      </c>
      <c r="C591" s="123" t="str">
        <f>C16</f>
        <v xml:space="preserve">M/S.SHAS DESIGN AND PRINTING </v>
      </c>
      <c r="D591" s="137"/>
      <c r="E591" s="137"/>
      <c r="F591" s="1"/>
    </row>
    <row r="592" spans="2:11" ht="15.5">
      <c r="B592" s="124"/>
      <c r="C592" s="124" t="str">
        <f>A17</f>
        <v>NEAR POST OFFICE, NILESHWAR</v>
      </c>
      <c r="D592" s="124"/>
      <c r="E592" s="124"/>
      <c r="F592" s="124"/>
    </row>
    <row r="593" spans="1:6" ht="15.5">
      <c r="B593" s="144" t="s">
        <v>563</v>
      </c>
      <c r="C593" s="123"/>
      <c r="D593" s="137"/>
      <c r="E593" s="137"/>
      <c r="F593" s="1"/>
    </row>
    <row r="594" spans="1:6" ht="15.5">
      <c r="B594" s="138" t="s">
        <v>557</v>
      </c>
      <c r="C594" s="136" t="s">
        <v>262</v>
      </c>
      <c r="D594" s="139" t="s">
        <v>558</v>
      </c>
      <c r="E594" s="139" t="s">
        <v>558</v>
      </c>
      <c r="F594" s="139" t="s">
        <v>558</v>
      </c>
    </row>
    <row r="595" spans="1:6" ht="15.5">
      <c r="B595" s="122"/>
      <c r="C595" s="123"/>
      <c r="D595" s="141"/>
      <c r="E595" s="137"/>
      <c r="F595" s="137"/>
    </row>
    <row r="596" spans="1:6" ht="15.5">
      <c r="A596" s="121"/>
      <c r="B596" s="140">
        <f>B411</f>
        <v>0</v>
      </c>
      <c r="C596" s="100"/>
      <c r="D596" s="141">
        <f>F412</f>
        <v>0</v>
      </c>
      <c r="E596" s="141">
        <f>D596</f>
        <v>0</v>
      </c>
      <c r="F596" s="141"/>
    </row>
    <row r="597" spans="1:6" ht="15.5">
      <c r="A597" s="121"/>
      <c r="B597" s="147" t="s">
        <v>559</v>
      </c>
      <c r="C597" s="100">
        <v>10</v>
      </c>
      <c r="D597" s="141"/>
      <c r="E597" s="130">
        <f>E596*10/100</f>
        <v>0</v>
      </c>
      <c r="F597" s="141">
        <f>E596-E597</f>
        <v>0</v>
      </c>
    </row>
    <row r="598" spans="1:6" ht="15.5">
      <c r="A598" s="121"/>
      <c r="B598" s="140">
        <f>B413</f>
        <v>0</v>
      </c>
      <c r="C598" s="100">
        <v>0</v>
      </c>
      <c r="D598" s="141">
        <f>F414</f>
        <v>0</v>
      </c>
      <c r="E598" s="141">
        <f t="shared" ref="E598:E632" si="1">D598</f>
        <v>0</v>
      </c>
      <c r="F598" s="141"/>
    </row>
    <row r="599" spans="1:6" ht="15.5">
      <c r="A599" s="121"/>
      <c r="B599" s="147" t="s">
        <v>559</v>
      </c>
      <c r="C599" s="100">
        <v>10</v>
      </c>
      <c r="D599" s="141"/>
      <c r="E599" s="130">
        <f>E598*10/100</f>
        <v>0</v>
      </c>
      <c r="F599" s="141">
        <f>E598-E599</f>
        <v>0</v>
      </c>
    </row>
    <row r="600" spans="1:6" ht="15.5">
      <c r="A600" s="121"/>
      <c r="B600" s="140" t="str">
        <f>B415</f>
        <v xml:space="preserve">INVERTOR 3KVA </v>
      </c>
      <c r="C600" s="100"/>
      <c r="D600" s="141">
        <f>F416</f>
        <v>56700</v>
      </c>
      <c r="E600" s="141">
        <f t="shared" si="1"/>
        <v>56700</v>
      </c>
      <c r="F600" s="141"/>
    </row>
    <row r="601" spans="1:6" ht="15.5">
      <c r="A601" s="121"/>
      <c r="B601" s="147" t="s">
        <v>559</v>
      </c>
      <c r="C601" s="100">
        <v>10</v>
      </c>
      <c r="D601" s="141"/>
      <c r="E601" s="130">
        <f>E600*10/100</f>
        <v>5670</v>
      </c>
      <c r="F601" s="141">
        <f>E600-E601</f>
        <v>51030</v>
      </c>
    </row>
    <row r="602" spans="1:6" ht="15.5" hidden="1">
      <c r="A602" s="121"/>
      <c r="B602" s="140" t="str">
        <f>B417</f>
        <v>GODREREJ A/C</v>
      </c>
      <c r="C602" s="100"/>
      <c r="D602" s="141">
        <f>F418</f>
        <v>26460</v>
      </c>
      <c r="E602" s="141">
        <f t="shared" si="1"/>
        <v>26460</v>
      </c>
      <c r="F602" s="141"/>
    </row>
    <row r="603" spans="1:6" ht="15.5" hidden="1">
      <c r="A603" s="121"/>
      <c r="B603" s="147" t="s">
        <v>559</v>
      </c>
      <c r="C603" s="100">
        <v>10</v>
      </c>
      <c r="D603" s="141"/>
      <c r="E603" s="130">
        <f>E602*10/100</f>
        <v>2646</v>
      </c>
      <c r="F603" s="141">
        <f>E602-E603</f>
        <v>23814</v>
      </c>
    </row>
    <row r="604" spans="1:6" ht="15.5" hidden="1">
      <c r="A604" s="121"/>
      <c r="B604" s="140" t="str">
        <f>B419</f>
        <v>LLOYD A/C</v>
      </c>
      <c r="C604" s="100"/>
      <c r="D604" s="141">
        <f>F420</f>
        <v>26460</v>
      </c>
      <c r="E604" s="141">
        <f t="shared" si="1"/>
        <v>26460</v>
      </c>
      <c r="F604" s="141"/>
    </row>
    <row r="605" spans="1:6" ht="15.5" hidden="1">
      <c r="A605" s="121"/>
      <c r="B605" s="147" t="s">
        <v>559</v>
      </c>
      <c r="C605" s="100">
        <v>10</v>
      </c>
      <c r="D605" s="141"/>
      <c r="E605" s="130">
        <f>E604*10/100</f>
        <v>2646</v>
      </c>
      <c r="F605" s="141">
        <f>E604-E605</f>
        <v>23814</v>
      </c>
    </row>
    <row r="606" spans="1:6" ht="15.5" hidden="1">
      <c r="A606" s="121"/>
      <c r="B606" s="140" t="str">
        <f>B421</f>
        <v>HALER A/C</v>
      </c>
      <c r="C606" s="100"/>
      <c r="D606" s="141">
        <f>F422</f>
        <v>30240</v>
      </c>
      <c r="E606" s="141">
        <f t="shared" si="1"/>
        <v>30240</v>
      </c>
      <c r="F606" s="141"/>
    </row>
    <row r="607" spans="1:6" ht="15.5" hidden="1">
      <c r="A607" s="121"/>
      <c r="B607" s="147" t="s">
        <v>559</v>
      </c>
      <c r="C607" s="100">
        <v>10</v>
      </c>
      <c r="D607" s="141"/>
      <c r="E607" s="130">
        <f>E606*10/100</f>
        <v>3024</v>
      </c>
      <c r="F607" s="141">
        <f>E606-E607</f>
        <v>27216</v>
      </c>
    </row>
    <row r="608" spans="1:6" ht="15.5" hidden="1">
      <c r="A608" s="121"/>
      <c r="B608" s="140" t="str">
        <f>B423</f>
        <v>COMPUTER CHAIR , TABLE Etc.</v>
      </c>
      <c r="C608" s="100"/>
      <c r="D608" s="141">
        <f>F424</f>
        <v>64260</v>
      </c>
      <c r="E608" s="141">
        <f t="shared" si="1"/>
        <v>64260</v>
      </c>
      <c r="F608" s="141"/>
    </row>
    <row r="609" spans="1:6" ht="15.5" hidden="1">
      <c r="A609" s="121"/>
      <c r="B609" s="147" t="s">
        <v>559</v>
      </c>
      <c r="C609" s="100">
        <v>10</v>
      </c>
      <c r="D609" s="141"/>
      <c r="E609" s="130">
        <f>E608*10/100</f>
        <v>6426</v>
      </c>
      <c r="F609" s="141">
        <f>E608-E609</f>
        <v>57834</v>
      </c>
    </row>
    <row r="610" spans="1:6" ht="15.5" hidden="1">
      <c r="A610" s="121"/>
      <c r="B610" s="140">
        <f>B425</f>
        <v>0</v>
      </c>
      <c r="C610" s="100"/>
      <c r="D610" s="141">
        <f>F426</f>
        <v>0</v>
      </c>
      <c r="E610" s="141">
        <f t="shared" si="1"/>
        <v>0</v>
      </c>
      <c r="F610" s="141"/>
    </row>
    <row r="611" spans="1:6" ht="15.5" hidden="1">
      <c r="A611" s="121"/>
      <c r="B611" s="147" t="s">
        <v>559</v>
      </c>
      <c r="C611" s="100">
        <v>10</v>
      </c>
      <c r="D611" s="141"/>
      <c r="E611" s="130">
        <f>E610*10/100</f>
        <v>0</v>
      </c>
      <c r="F611" s="141">
        <f>E610-E611</f>
        <v>0</v>
      </c>
    </row>
    <row r="612" spans="1:6" ht="15.5" hidden="1">
      <c r="A612" s="121"/>
      <c r="B612" s="140">
        <f>B427</f>
        <v>0</v>
      </c>
      <c r="C612" s="100"/>
      <c r="D612" s="141">
        <f>F428</f>
        <v>0</v>
      </c>
      <c r="E612" s="141">
        <f t="shared" si="1"/>
        <v>0</v>
      </c>
      <c r="F612" s="141"/>
    </row>
    <row r="613" spans="1:6" ht="15.5" hidden="1">
      <c r="A613" s="121"/>
      <c r="B613" s="147" t="s">
        <v>559</v>
      </c>
      <c r="C613" s="100">
        <v>10</v>
      </c>
      <c r="D613" s="137"/>
      <c r="E613" s="130">
        <f>E612*10/100</f>
        <v>0</v>
      </c>
      <c r="F613" s="141">
        <f>E612-E613</f>
        <v>0</v>
      </c>
    </row>
    <row r="614" spans="1:6" ht="15.5" hidden="1">
      <c r="A614" s="121"/>
      <c r="B614" s="140">
        <f>B429</f>
        <v>0</v>
      </c>
      <c r="C614" s="100"/>
      <c r="D614" s="141">
        <f>F430</f>
        <v>0</v>
      </c>
      <c r="E614" s="141">
        <f t="shared" si="1"/>
        <v>0</v>
      </c>
      <c r="F614" s="141"/>
    </row>
    <row r="615" spans="1:6" ht="15.5" hidden="1">
      <c r="A615" s="121"/>
      <c r="B615" s="147" t="s">
        <v>559</v>
      </c>
      <c r="C615" s="100">
        <v>10</v>
      </c>
      <c r="D615" s="137"/>
      <c r="E615" s="130">
        <f>E614*10/100</f>
        <v>0</v>
      </c>
      <c r="F615" s="141">
        <f>E614-E615</f>
        <v>0</v>
      </c>
    </row>
    <row r="616" spans="1:6" ht="15.5" hidden="1">
      <c r="A616" s="121"/>
      <c r="B616" s="140">
        <f>B431</f>
        <v>0</v>
      </c>
      <c r="C616" s="100"/>
      <c r="D616" s="141">
        <f>F432</f>
        <v>0</v>
      </c>
      <c r="E616" s="141">
        <f t="shared" si="1"/>
        <v>0</v>
      </c>
      <c r="F616" s="141"/>
    </row>
    <row r="617" spans="1:6" ht="15.5" hidden="1">
      <c r="A617" s="121"/>
      <c r="B617" s="147" t="s">
        <v>559</v>
      </c>
      <c r="C617" s="100">
        <v>10</v>
      </c>
      <c r="D617" s="137"/>
      <c r="E617" s="130">
        <f>E616*10/100</f>
        <v>0</v>
      </c>
      <c r="F617" s="141">
        <f>E616-E617</f>
        <v>0</v>
      </c>
    </row>
    <row r="618" spans="1:6" ht="15.5" hidden="1">
      <c r="A618" s="121"/>
      <c r="B618" s="140">
        <f>B433</f>
        <v>0</v>
      </c>
      <c r="C618" s="100"/>
      <c r="D618" s="141">
        <f>F434</f>
        <v>0</v>
      </c>
      <c r="E618" s="141">
        <f t="shared" si="1"/>
        <v>0</v>
      </c>
      <c r="F618" s="141"/>
    </row>
    <row r="619" spans="1:6" ht="15.5" hidden="1">
      <c r="A619" s="121"/>
      <c r="B619" s="147" t="s">
        <v>559</v>
      </c>
      <c r="C619" s="100">
        <v>10</v>
      </c>
      <c r="D619" s="137"/>
      <c r="E619" s="130">
        <f>E618*10/100</f>
        <v>0</v>
      </c>
      <c r="F619" s="141">
        <f>E618-E619</f>
        <v>0</v>
      </c>
    </row>
    <row r="620" spans="1:6" ht="15.5" hidden="1">
      <c r="A620" s="121"/>
      <c r="B620" s="140">
        <f>B435</f>
        <v>0</v>
      </c>
      <c r="C620" s="100"/>
      <c r="D620" s="141">
        <f>F436</f>
        <v>0</v>
      </c>
      <c r="E620" s="141">
        <f t="shared" si="1"/>
        <v>0</v>
      </c>
      <c r="F620" s="141"/>
    </row>
    <row r="621" spans="1:6" ht="15.5" hidden="1">
      <c r="A621" s="121"/>
      <c r="B621" s="147" t="s">
        <v>559</v>
      </c>
      <c r="C621" s="100">
        <v>10</v>
      </c>
      <c r="D621" s="137"/>
      <c r="E621" s="130">
        <f>E620*10/100</f>
        <v>0</v>
      </c>
      <c r="F621" s="141">
        <f>E620-E621</f>
        <v>0</v>
      </c>
    </row>
    <row r="622" spans="1:6" ht="15.5" hidden="1">
      <c r="A622" s="121"/>
      <c r="B622" s="140">
        <f>B437</f>
        <v>0</v>
      </c>
      <c r="C622" s="100"/>
      <c r="D622" s="141">
        <f>F438</f>
        <v>0</v>
      </c>
      <c r="E622" s="141">
        <f t="shared" si="1"/>
        <v>0</v>
      </c>
      <c r="F622" s="141"/>
    </row>
    <row r="623" spans="1:6" ht="15.5" hidden="1">
      <c r="A623" s="121"/>
      <c r="B623" s="147" t="s">
        <v>559</v>
      </c>
      <c r="C623" s="100">
        <v>10</v>
      </c>
      <c r="D623" s="137"/>
      <c r="E623" s="130">
        <f>E622*10/100</f>
        <v>0</v>
      </c>
      <c r="F623" s="141">
        <f>E622-E623</f>
        <v>0</v>
      </c>
    </row>
    <row r="624" spans="1:6" ht="15.5" hidden="1">
      <c r="A624" s="121"/>
      <c r="B624" s="140">
        <f>B439</f>
        <v>0</v>
      </c>
      <c r="C624" s="100"/>
      <c r="D624" s="141">
        <f>F440</f>
        <v>0</v>
      </c>
      <c r="E624" s="141">
        <f t="shared" si="1"/>
        <v>0</v>
      </c>
      <c r="F624" s="141"/>
    </row>
    <row r="625" spans="1:6" ht="15.5" hidden="1">
      <c r="A625" s="121"/>
      <c r="B625" s="147" t="s">
        <v>559</v>
      </c>
      <c r="C625" s="100">
        <v>10</v>
      </c>
      <c r="D625" s="137"/>
      <c r="E625" s="130">
        <f>E624*10/100</f>
        <v>0</v>
      </c>
      <c r="F625" s="141">
        <f>E624-E625</f>
        <v>0</v>
      </c>
    </row>
    <row r="626" spans="1:6" ht="15.5" hidden="1">
      <c r="A626" s="121"/>
      <c r="B626" s="140">
        <f>B441</f>
        <v>0</v>
      </c>
      <c r="C626" s="100"/>
      <c r="D626" s="141">
        <f>F442</f>
        <v>0</v>
      </c>
      <c r="E626" s="141">
        <f t="shared" si="1"/>
        <v>0</v>
      </c>
      <c r="F626" s="141"/>
    </row>
    <row r="627" spans="1:6" ht="15.5" hidden="1">
      <c r="A627" s="121"/>
      <c r="B627" s="147" t="s">
        <v>559</v>
      </c>
      <c r="C627" s="100">
        <v>10</v>
      </c>
      <c r="D627" s="137"/>
      <c r="E627" s="130">
        <f>E626*10/100</f>
        <v>0</v>
      </c>
      <c r="F627" s="141">
        <f>E626-E627</f>
        <v>0</v>
      </c>
    </row>
    <row r="628" spans="1:6" ht="15.5" hidden="1">
      <c r="A628" s="121"/>
      <c r="B628" s="140">
        <f>B443</f>
        <v>0</v>
      </c>
      <c r="C628" s="100"/>
      <c r="D628" s="141">
        <f>F444</f>
        <v>0</v>
      </c>
      <c r="E628" s="141">
        <f t="shared" si="1"/>
        <v>0</v>
      </c>
      <c r="F628" s="141"/>
    </row>
    <row r="629" spans="1:6" ht="15.5" hidden="1">
      <c r="A629" s="121"/>
      <c r="B629" s="147" t="s">
        <v>559</v>
      </c>
      <c r="C629" s="100">
        <v>10</v>
      </c>
      <c r="D629" s="137"/>
      <c r="E629" s="130">
        <f>E628*10/100</f>
        <v>0</v>
      </c>
      <c r="F629" s="141">
        <f>E628-E629</f>
        <v>0</v>
      </c>
    </row>
    <row r="630" spans="1:6" ht="15.5" hidden="1">
      <c r="A630" s="121"/>
      <c r="B630" s="140">
        <f>B445</f>
        <v>0</v>
      </c>
      <c r="C630" s="100"/>
      <c r="D630" s="141">
        <f>F446</f>
        <v>0</v>
      </c>
      <c r="E630" s="141">
        <f t="shared" si="1"/>
        <v>0</v>
      </c>
      <c r="F630" s="141"/>
    </row>
    <row r="631" spans="1:6" ht="15.5" hidden="1">
      <c r="A631" s="121"/>
      <c r="B631" s="147" t="s">
        <v>559</v>
      </c>
      <c r="C631" s="100">
        <v>10</v>
      </c>
      <c r="D631" s="137"/>
      <c r="E631" s="130">
        <f>E630*10/100</f>
        <v>0</v>
      </c>
      <c r="F631" s="141">
        <f>E630-E631</f>
        <v>0</v>
      </c>
    </row>
    <row r="632" spans="1:6" ht="15.5" hidden="1">
      <c r="A632" s="121"/>
      <c r="B632" s="140">
        <f>B447</f>
        <v>0</v>
      </c>
      <c r="C632" s="100">
        <v>0</v>
      </c>
      <c r="D632" s="141">
        <f>F448</f>
        <v>0</v>
      </c>
      <c r="E632" s="141">
        <f t="shared" si="1"/>
        <v>0</v>
      </c>
      <c r="F632" s="141"/>
    </row>
    <row r="633" spans="1:6" ht="15.5" hidden="1">
      <c r="A633" s="121"/>
      <c r="B633" s="147" t="s">
        <v>559</v>
      </c>
      <c r="C633" s="100">
        <v>10</v>
      </c>
      <c r="D633" s="137"/>
      <c r="E633" s="130">
        <f>E632*10/100</f>
        <v>0</v>
      </c>
      <c r="F633" s="141">
        <f>E632-E633</f>
        <v>0</v>
      </c>
    </row>
    <row r="634" spans="1:6" ht="15.5" hidden="1">
      <c r="A634" s="121"/>
      <c r="B634" s="140"/>
      <c r="C634" s="100"/>
      <c r="D634" s="141"/>
      <c r="E634" s="141"/>
      <c r="F634" s="141"/>
    </row>
    <row r="635" spans="1:6" ht="15.5" hidden="1">
      <c r="B635" s="142"/>
      <c r="C635" s="100"/>
      <c r="D635" s="137"/>
      <c r="E635" s="130"/>
      <c r="F635" s="141"/>
    </row>
    <row r="636" spans="1:6" ht="15.5" hidden="1">
      <c r="B636" s="142"/>
      <c r="C636" s="100"/>
      <c r="D636" s="137"/>
      <c r="E636" s="100"/>
      <c r="F636" s="141"/>
    </row>
    <row r="637" spans="1:6" ht="15.5" hidden="1">
      <c r="B637" s="142"/>
      <c r="C637" s="100"/>
      <c r="D637" s="137"/>
      <c r="E637" s="100"/>
      <c r="F637" s="141"/>
    </row>
    <row r="638" spans="1:6" ht="15.5" hidden="1">
      <c r="B638" s="142"/>
      <c r="C638" s="100"/>
      <c r="D638" s="137"/>
      <c r="E638" s="100"/>
      <c r="F638" s="141"/>
    </row>
    <row r="639" spans="1:6" ht="15.5" hidden="1">
      <c r="B639" s="142"/>
      <c r="C639" s="100"/>
      <c r="D639" s="137"/>
      <c r="E639" s="100"/>
      <c r="F639" s="141"/>
    </row>
    <row r="640" spans="1:6" ht="15.5" hidden="1">
      <c r="B640" s="142"/>
      <c r="C640" s="100"/>
      <c r="D640" s="137"/>
      <c r="E640" s="100"/>
      <c r="F640" s="141"/>
    </row>
    <row r="641" spans="2:6" ht="15.5" hidden="1">
      <c r="B641" s="142"/>
      <c r="C641" s="100"/>
      <c r="D641" s="137"/>
      <c r="E641" s="100"/>
      <c r="F641" s="141"/>
    </row>
    <row r="642" spans="2:6" ht="15.5" hidden="1">
      <c r="B642" s="142"/>
      <c r="C642" s="100"/>
      <c r="D642" s="137"/>
      <c r="E642" s="100"/>
      <c r="F642" s="141"/>
    </row>
    <row r="643" spans="2:6" ht="15.5" hidden="1">
      <c r="B643" s="142"/>
      <c r="C643" s="100"/>
      <c r="D643" s="137"/>
      <c r="E643" s="100"/>
      <c r="F643" s="141"/>
    </row>
    <row r="644" spans="2:6" ht="15.5" hidden="1">
      <c r="B644" s="122"/>
      <c r="C644" s="123"/>
      <c r="D644" s="137"/>
      <c r="E644" s="137"/>
      <c r="F644" s="137"/>
    </row>
    <row r="645" spans="2:6" ht="15.5">
      <c r="B645" s="146"/>
      <c r="C645" s="135" t="s">
        <v>263</v>
      </c>
      <c r="D645" s="139">
        <f>SUM(D596:D644)</f>
        <v>204120</v>
      </c>
      <c r="E645" s="139">
        <f>E597+E599+E601+E603+E605+E607+E609+E611+E613+E615+E617+E619+E621+E623+E625+E627+E629+E631+E635+E633</f>
        <v>20412</v>
      </c>
      <c r="F645" s="139">
        <f>SUM(F596:F644)</f>
        <v>183708</v>
      </c>
    </row>
    <row r="646" spans="2:6" ht="15.5">
      <c r="B646" s="122"/>
      <c r="C646" s="123"/>
      <c r="D646" s="137"/>
      <c r="E646" s="137"/>
      <c r="F646" s="137"/>
    </row>
    <row r="647" spans="2:6" ht="15.5">
      <c r="B647" s="122"/>
      <c r="C647" s="123"/>
      <c r="D647" s="137"/>
      <c r="E647" s="137"/>
      <c r="F647" s="137"/>
    </row>
    <row r="648" spans="2:6" ht="15.5">
      <c r="B648" s="122"/>
      <c r="C648" s="123"/>
      <c r="D648" s="137"/>
      <c r="E648" s="137"/>
      <c r="F648" s="137"/>
    </row>
    <row r="649" spans="2:6" ht="15.5">
      <c r="B649" s="122"/>
      <c r="C649" s="123"/>
      <c r="D649" s="137"/>
      <c r="E649" s="137"/>
      <c r="F649" s="137"/>
    </row>
    <row r="650" spans="2:6" ht="15.5">
      <c r="B650" s="122"/>
      <c r="C650" s="123"/>
      <c r="D650" s="137"/>
      <c r="E650" s="137"/>
      <c r="F650" s="137"/>
    </row>
    <row r="651" spans="2:6" ht="15.5">
      <c r="B651" s="122"/>
      <c r="C651" s="123"/>
      <c r="D651" s="137"/>
      <c r="E651" s="137"/>
      <c r="F651" s="137"/>
    </row>
    <row r="652" spans="2:6" ht="15.5">
      <c r="B652" s="122"/>
      <c r="C652" s="123"/>
      <c r="D652" s="137"/>
      <c r="E652" s="137"/>
      <c r="F652" s="137"/>
    </row>
    <row r="653" spans="2:6" ht="15.5">
      <c r="B653" s="122"/>
      <c r="C653" s="123"/>
      <c r="D653" s="137"/>
      <c r="E653" s="137"/>
      <c r="F653" s="137"/>
    </row>
    <row r="654" spans="2:6" ht="15.5">
      <c r="B654" s="122"/>
      <c r="C654" s="123"/>
      <c r="D654" s="137"/>
      <c r="E654" s="137"/>
      <c r="F654" s="137"/>
    </row>
    <row r="655" spans="2:6" ht="15.5">
      <c r="B655" s="122"/>
      <c r="C655" s="123"/>
      <c r="D655" s="137"/>
      <c r="E655" s="137"/>
      <c r="F655" s="137"/>
    </row>
    <row r="656" spans="2:6" ht="15.5">
      <c r="B656" s="122"/>
      <c r="C656" s="123"/>
      <c r="D656" s="137"/>
      <c r="E656" s="137"/>
      <c r="F656" s="137"/>
    </row>
    <row r="657" spans="2:6" ht="15.5">
      <c r="B657" s="122"/>
      <c r="C657" s="123"/>
      <c r="D657" s="137"/>
      <c r="E657" s="137"/>
      <c r="F657" s="137"/>
    </row>
    <row r="658" spans="2:6" ht="15.5">
      <c r="B658" s="122"/>
      <c r="C658" s="123"/>
      <c r="D658" s="137"/>
      <c r="E658" s="137"/>
      <c r="F658" s="137"/>
    </row>
    <row r="659" spans="2:6" ht="15.5">
      <c r="B659" s="122"/>
      <c r="C659" s="123"/>
      <c r="D659" s="137"/>
      <c r="E659" s="137"/>
      <c r="F659" s="137"/>
    </row>
    <row r="660" spans="2:6" ht="15.5">
      <c r="B660" s="122"/>
      <c r="C660" s="123"/>
      <c r="D660" s="137"/>
      <c r="E660" s="137"/>
      <c r="F660" s="137"/>
    </row>
    <row r="661" spans="2:6" ht="15.5">
      <c r="B661" s="122"/>
      <c r="C661" s="123"/>
      <c r="D661" s="137"/>
      <c r="E661" s="137"/>
      <c r="F661" s="137"/>
    </row>
    <row r="662" spans="2:6" ht="15.5">
      <c r="B662" s="122"/>
      <c r="C662" s="123"/>
      <c r="D662" s="137"/>
      <c r="E662" s="137"/>
      <c r="F662" s="137"/>
    </row>
    <row r="663" spans="2:6" ht="15.5">
      <c r="B663" s="122"/>
      <c r="C663" s="123"/>
      <c r="D663" s="137"/>
      <c r="E663" s="137"/>
      <c r="F663" s="137"/>
    </row>
    <row r="664" spans="2:6" ht="15.5">
      <c r="B664" s="122"/>
      <c r="C664" s="123"/>
      <c r="D664" s="137"/>
      <c r="E664" s="137"/>
      <c r="F664" s="137"/>
    </row>
    <row r="665" spans="2:6" ht="15.5">
      <c r="B665" s="122"/>
      <c r="C665" s="123"/>
      <c r="D665" s="137"/>
      <c r="E665" s="137"/>
      <c r="F665" s="137"/>
    </row>
    <row r="666" spans="2:6" ht="15.5">
      <c r="B666" s="122"/>
      <c r="C666" s="123"/>
      <c r="D666" s="137"/>
      <c r="E666" s="137"/>
      <c r="F666" s="137"/>
    </row>
    <row r="667" spans="2:6" ht="15.5">
      <c r="B667" s="122"/>
      <c r="C667" s="123"/>
      <c r="D667" s="137"/>
      <c r="E667" s="137"/>
      <c r="F667" s="137"/>
    </row>
    <row r="668" spans="2:6" ht="15.5">
      <c r="B668" s="122"/>
      <c r="C668" s="123"/>
      <c r="D668" s="137"/>
      <c r="E668" s="137"/>
      <c r="F668" s="137"/>
    </row>
    <row r="669" spans="2:6" ht="15.5">
      <c r="B669" s="122"/>
      <c r="C669" s="123"/>
      <c r="D669" s="137"/>
      <c r="E669" s="137"/>
      <c r="F669" s="137"/>
    </row>
    <row r="670" spans="2:6" ht="15.5">
      <c r="B670" s="122"/>
      <c r="C670" s="123"/>
      <c r="D670" s="137"/>
      <c r="E670" s="137"/>
      <c r="F670" s="137"/>
    </row>
    <row r="671" spans="2:6" ht="15.5">
      <c r="B671" s="122"/>
      <c r="C671" s="123"/>
      <c r="D671" s="137"/>
      <c r="E671" s="137"/>
      <c r="F671" s="137"/>
    </row>
    <row r="672" spans="2:6" ht="15.5">
      <c r="B672" s="122"/>
      <c r="C672" s="123"/>
      <c r="D672" s="137"/>
      <c r="E672" s="137"/>
      <c r="F672" s="137"/>
    </row>
    <row r="673" spans="2:6" ht="15.5">
      <c r="B673" s="122"/>
      <c r="C673" s="123"/>
      <c r="D673" s="137"/>
      <c r="E673" s="137"/>
      <c r="F673" s="137"/>
    </row>
    <row r="674" spans="2:6" ht="15.5">
      <c r="B674" s="122"/>
      <c r="C674" s="123"/>
      <c r="D674" s="137"/>
      <c r="E674" s="137"/>
      <c r="F674" s="137"/>
    </row>
    <row r="675" spans="2:6" ht="15.5">
      <c r="B675" s="122"/>
      <c r="C675" s="123"/>
      <c r="D675" s="137"/>
      <c r="E675" s="137"/>
      <c r="F675" s="137"/>
    </row>
    <row r="676" spans="2:6" ht="15.5">
      <c r="B676" s="122"/>
      <c r="C676" s="123"/>
      <c r="D676" s="137"/>
      <c r="E676" s="137"/>
      <c r="F676" s="137"/>
    </row>
    <row r="677" spans="2:6" ht="15.5">
      <c r="B677" s="122"/>
      <c r="C677" s="123"/>
      <c r="D677" s="137"/>
      <c r="E677" s="137"/>
      <c r="F677" s="137"/>
    </row>
    <row r="678" spans="2:6" ht="15.5" hidden="1">
      <c r="B678" s="122"/>
      <c r="C678" s="123"/>
      <c r="D678" s="137"/>
      <c r="E678" s="137"/>
      <c r="F678" s="137"/>
    </row>
    <row r="679" spans="2:6" ht="15.5" hidden="1">
      <c r="B679" s="122"/>
      <c r="C679" s="123"/>
      <c r="D679" s="137"/>
      <c r="E679" s="137"/>
      <c r="F679" s="137"/>
    </row>
    <row r="680" spans="2:6" ht="15.5" hidden="1">
      <c r="B680" s="122"/>
      <c r="C680" s="123"/>
      <c r="D680" s="137"/>
      <c r="E680" s="137"/>
      <c r="F680" s="137"/>
    </row>
    <row r="681" spans="2:6" ht="15.5" hidden="1">
      <c r="B681" s="122"/>
      <c r="C681" s="123"/>
      <c r="D681" s="137"/>
      <c r="E681" s="137"/>
      <c r="F681" s="137"/>
    </row>
    <row r="682" spans="2:6" ht="15.5" hidden="1">
      <c r="B682" s="122"/>
      <c r="C682" s="123"/>
      <c r="D682" s="137"/>
      <c r="E682" s="137"/>
      <c r="F682" s="137"/>
    </row>
    <row r="683" spans="2:6" ht="15.5" hidden="1">
      <c r="B683" s="122"/>
      <c r="C683" s="123"/>
      <c r="D683" s="137"/>
      <c r="E683" s="137"/>
      <c r="F683" s="137"/>
    </row>
    <row r="684" spans="2:6" ht="15.5" hidden="1">
      <c r="B684" s="122"/>
      <c r="C684" s="123"/>
      <c r="D684" s="137"/>
      <c r="E684" s="137"/>
      <c r="F684" s="137"/>
    </row>
    <row r="685" spans="2:6" ht="15.5" hidden="1">
      <c r="B685" s="122"/>
      <c r="C685" s="123"/>
      <c r="D685" s="137"/>
      <c r="E685" s="137"/>
      <c r="F685" s="137"/>
    </row>
    <row r="686" spans="2:6" ht="15.5" hidden="1">
      <c r="B686" s="122"/>
      <c r="C686" s="123"/>
      <c r="D686" s="137"/>
      <c r="E686" s="137"/>
      <c r="F686" s="137"/>
    </row>
    <row r="687" spans="2:6" ht="15.5" hidden="1">
      <c r="B687" s="122"/>
      <c r="C687" s="123"/>
      <c r="D687" s="137"/>
      <c r="E687" s="137"/>
      <c r="F687" s="137"/>
    </row>
    <row r="688" spans="2:6" ht="15.5" hidden="1">
      <c r="B688" s="122"/>
      <c r="C688" s="123"/>
      <c r="D688" s="137"/>
      <c r="E688" s="137"/>
      <c r="F688" s="137"/>
    </row>
    <row r="689" spans="2:6" ht="15.5" hidden="1">
      <c r="B689" s="122"/>
      <c r="C689" s="123"/>
      <c r="D689" s="137"/>
      <c r="E689" s="137"/>
      <c r="F689" s="137"/>
    </row>
    <row r="690" spans="2:6" ht="15.5" hidden="1">
      <c r="B690" s="122"/>
      <c r="C690" s="123"/>
      <c r="D690" s="137"/>
      <c r="E690" s="137"/>
      <c r="F690" s="137"/>
    </row>
    <row r="691" spans="2:6" ht="15.5" hidden="1">
      <c r="B691" s="122"/>
      <c r="C691" s="123"/>
      <c r="D691" s="137"/>
      <c r="E691" s="137"/>
      <c r="F691" s="137"/>
    </row>
    <row r="692" spans="2:6" ht="15.5" hidden="1">
      <c r="B692" s="122"/>
      <c r="C692" s="123"/>
      <c r="D692" s="137"/>
      <c r="E692" s="137"/>
      <c r="F692" s="137"/>
    </row>
    <row r="693" spans="2:6" ht="15.5" hidden="1">
      <c r="B693" s="122"/>
      <c r="C693" s="123"/>
      <c r="D693" s="137"/>
      <c r="E693" s="137"/>
      <c r="F693" s="137"/>
    </row>
    <row r="694" spans="2:6" ht="15.5" hidden="1">
      <c r="B694" s="122"/>
      <c r="C694" s="123"/>
      <c r="D694" s="137"/>
      <c r="E694" s="137"/>
      <c r="F694" s="137"/>
    </row>
    <row r="695" spans="2:6" ht="15.5" hidden="1">
      <c r="B695" s="122"/>
      <c r="C695" s="123"/>
      <c r="D695" s="137"/>
      <c r="E695" s="137"/>
      <c r="F695" s="137"/>
    </row>
    <row r="696" spans="2:6" ht="15.5" hidden="1">
      <c r="B696" s="122"/>
      <c r="C696" s="123"/>
      <c r="D696" s="137"/>
      <c r="E696" s="137"/>
      <c r="F696" s="137"/>
    </row>
    <row r="697" spans="2:6" ht="15.5" hidden="1">
      <c r="B697" s="122"/>
      <c r="C697" s="123"/>
      <c r="D697" s="137"/>
      <c r="E697" s="137"/>
      <c r="F697" s="137"/>
    </row>
    <row r="698" spans="2:6" ht="15.5" hidden="1">
      <c r="B698" s="122"/>
      <c r="C698" s="123"/>
      <c r="D698" s="137"/>
      <c r="E698" s="137"/>
      <c r="F698" s="137"/>
    </row>
    <row r="699" spans="2:6" ht="15.5" hidden="1">
      <c r="B699" s="122"/>
      <c r="C699" s="123"/>
      <c r="D699" s="137"/>
      <c r="E699" s="137"/>
      <c r="F699" s="137"/>
    </row>
    <row r="700" spans="2:6" ht="15.5" hidden="1">
      <c r="B700" s="122"/>
      <c r="C700" s="123"/>
      <c r="D700" s="137"/>
      <c r="E700" s="137"/>
      <c r="F700" s="137"/>
    </row>
    <row r="701" spans="2:6" ht="15.5" hidden="1">
      <c r="B701" s="122"/>
      <c r="C701" s="123"/>
      <c r="D701" s="137"/>
      <c r="E701" s="137"/>
      <c r="F701" s="137"/>
    </row>
    <row r="702" spans="2:6" ht="15.5" hidden="1">
      <c r="B702" s="122"/>
      <c r="C702" s="123"/>
      <c r="D702" s="137"/>
      <c r="E702" s="137"/>
      <c r="F702" s="137"/>
    </row>
    <row r="703" spans="2:6" ht="15.5" hidden="1">
      <c r="B703" s="122"/>
      <c r="C703" s="123"/>
      <c r="D703" s="137"/>
      <c r="E703" s="137"/>
      <c r="F703" s="137"/>
    </row>
    <row r="704" spans="2:6" ht="15.5" hidden="1">
      <c r="B704" s="122"/>
      <c r="C704" s="123"/>
      <c r="D704" s="137"/>
      <c r="E704" s="137"/>
      <c r="F704" s="137"/>
    </row>
    <row r="705" spans="2:6" ht="15.5" hidden="1">
      <c r="B705" s="122"/>
      <c r="C705" s="123"/>
      <c r="D705" s="137"/>
      <c r="E705" s="137"/>
      <c r="F705" s="137"/>
    </row>
    <row r="706" spans="2:6" ht="15.5" hidden="1">
      <c r="B706" s="122"/>
      <c r="C706" s="123"/>
      <c r="D706" s="137"/>
      <c r="E706" s="137"/>
      <c r="F706" s="137"/>
    </row>
    <row r="707" spans="2:6" ht="15.5" hidden="1">
      <c r="B707" s="122"/>
      <c r="C707" s="123"/>
      <c r="D707" s="137"/>
      <c r="E707" s="137"/>
      <c r="F707" s="137"/>
    </row>
    <row r="708" spans="2:6" ht="15.5" hidden="1">
      <c r="B708" s="122"/>
      <c r="C708" s="123"/>
      <c r="D708" s="137"/>
      <c r="E708" s="137"/>
      <c r="F708" s="137"/>
    </row>
    <row r="709" spans="2:6" ht="15.5" hidden="1">
      <c r="B709" s="122"/>
      <c r="C709" s="123"/>
      <c r="D709" s="137"/>
      <c r="E709" s="137"/>
      <c r="F709" s="137"/>
    </row>
    <row r="710" spans="2:6" ht="15.5" hidden="1">
      <c r="B710" s="122"/>
      <c r="C710" s="123"/>
      <c r="D710" s="137"/>
      <c r="E710" s="137"/>
      <c r="F710" s="137"/>
    </row>
    <row r="711" spans="2:6" ht="15.5" hidden="1">
      <c r="B711" s="122"/>
      <c r="C711" s="123"/>
      <c r="D711" s="137"/>
      <c r="E711" s="137"/>
      <c r="F711" s="137"/>
    </row>
    <row r="712" spans="2:6" ht="15.5" hidden="1">
      <c r="B712" s="122"/>
      <c r="C712" s="123"/>
      <c r="D712" s="137"/>
      <c r="E712" s="137"/>
      <c r="F712" s="137"/>
    </row>
    <row r="713" spans="2:6" ht="15.5" hidden="1">
      <c r="B713" s="122"/>
      <c r="C713" s="123"/>
      <c r="D713" s="137"/>
      <c r="E713" s="137"/>
      <c r="F713" s="137"/>
    </row>
    <row r="714" spans="2:6" ht="15.5" hidden="1">
      <c r="B714" s="122"/>
      <c r="C714" s="123"/>
      <c r="D714" s="137"/>
      <c r="E714" s="137"/>
      <c r="F714" s="137"/>
    </row>
    <row r="715" spans="2:6" ht="15.5" hidden="1">
      <c r="B715" s="122"/>
      <c r="C715" s="123"/>
      <c r="D715" s="137"/>
      <c r="E715" s="137"/>
      <c r="F715" s="137"/>
    </row>
    <row r="716" spans="2:6" ht="15.5" hidden="1">
      <c r="B716" s="122"/>
      <c r="C716" s="123"/>
      <c r="D716" s="137"/>
      <c r="E716" s="137"/>
      <c r="F716" s="137"/>
    </row>
    <row r="717" spans="2:6" ht="15.5" hidden="1">
      <c r="B717" s="122"/>
      <c r="C717" s="123"/>
      <c r="D717" s="137"/>
      <c r="E717" s="137"/>
      <c r="F717" s="137"/>
    </row>
    <row r="718" spans="2:6" ht="15.5" hidden="1">
      <c r="B718" s="122"/>
      <c r="C718" s="123"/>
      <c r="D718" s="137"/>
      <c r="E718" s="137"/>
      <c r="F718" s="137"/>
    </row>
    <row r="719" spans="2:6" ht="15.5" hidden="1">
      <c r="B719" s="122"/>
      <c r="C719" s="123"/>
      <c r="D719" s="137"/>
      <c r="E719" s="137"/>
      <c r="F719" s="137"/>
    </row>
    <row r="720" spans="2:6" ht="15.5" hidden="1">
      <c r="B720" s="122"/>
      <c r="C720" s="123"/>
      <c r="D720" s="137"/>
      <c r="E720" s="137"/>
      <c r="F720" s="137"/>
    </row>
    <row r="721" spans="2:6" ht="15.5" hidden="1">
      <c r="B721" s="122"/>
      <c r="C721" s="123"/>
      <c r="D721" s="137"/>
      <c r="E721" s="137"/>
      <c r="F721" s="137"/>
    </row>
    <row r="722" spans="2:6" ht="15.5" hidden="1">
      <c r="B722" s="122"/>
      <c r="C722" s="123"/>
      <c r="D722" s="137"/>
      <c r="E722" s="137"/>
      <c r="F722" s="137"/>
    </row>
    <row r="723" spans="2:6" ht="15.5" hidden="1">
      <c r="B723" s="122"/>
      <c r="C723" s="123"/>
      <c r="D723" s="137"/>
      <c r="E723" s="137"/>
      <c r="F723" s="137"/>
    </row>
    <row r="724" spans="2:6" ht="15.5" hidden="1">
      <c r="B724" s="122"/>
      <c r="C724" s="123"/>
      <c r="D724" s="137"/>
      <c r="E724" s="137"/>
      <c r="F724" s="137"/>
    </row>
    <row r="725" spans="2:6" ht="15.5" hidden="1">
      <c r="B725" s="122"/>
      <c r="C725" s="123"/>
      <c r="D725" s="137"/>
      <c r="E725" s="137"/>
      <c r="F725" s="137"/>
    </row>
    <row r="726" spans="2:6" ht="15.5" hidden="1">
      <c r="B726" s="122"/>
      <c r="C726" s="123"/>
      <c r="D726" s="137"/>
      <c r="E726" s="137"/>
      <c r="F726" s="137"/>
    </row>
    <row r="727" spans="2:6" ht="15.5" hidden="1">
      <c r="B727" s="122"/>
      <c r="C727" s="123"/>
      <c r="D727" s="137"/>
      <c r="E727" s="137"/>
      <c r="F727" s="137"/>
    </row>
    <row r="728" spans="2:6" ht="15.5" hidden="1">
      <c r="B728" s="122"/>
      <c r="C728" s="123"/>
      <c r="D728" s="137"/>
      <c r="E728" s="137"/>
      <c r="F728" s="137"/>
    </row>
    <row r="729" spans="2:6" ht="15.5" hidden="1">
      <c r="B729" s="122"/>
      <c r="C729" s="123"/>
      <c r="D729" s="137"/>
      <c r="E729" s="137"/>
      <c r="F729" s="137"/>
    </row>
    <row r="730" spans="2:6" ht="15.5" hidden="1">
      <c r="B730" s="122"/>
      <c r="C730" s="123"/>
      <c r="D730" s="137"/>
      <c r="E730" s="137"/>
      <c r="F730" s="137"/>
    </row>
    <row r="731" spans="2:6" ht="15.5" hidden="1">
      <c r="B731" s="122"/>
      <c r="C731" s="123"/>
      <c r="D731" s="137"/>
      <c r="E731" s="137"/>
      <c r="F731" s="137"/>
    </row>
    <row r="732" spans="2:6" ht="15.5" hidden="1">
      <c r="B732" s="122"/>
      <c r="C732" s="123"/>
      <c r="D732" s="137"/>
      <c r="E732" s="137"/>
      <c r="F732" s="137"/>
    </row>
    <row r="733" spans="2:6" ht="15.5" hidden="1">
      <c r="B733" s="122"/>
      <c r="C733" s="123"/>
      <c r="D733" s="137"/>
      <c r="E733" s="137"/>
      <c r="F733" s="137"/>
    </row>
    <row r="734" spans="2:6" ht="15.5" hidden="1">
      <c r="B734" s="122"/>
      <c r="C734" s="123"/>
      <c r="D734" s="137"/>
      <c r="E734" s="137"/>
      <c r="F734" s="137"/>
    </row>
    <row r="735" spans="2:6" ht="15.5" hidden="1">
      <c r="B735" s="122"/>
      <c r="C735" s="123"/>
      <c r="D735" s="137"/>
      <c r="E735" s="137"/>
      <c r="F735" s="137"/>
    </row>
    <row r="736" spans="2:6" ht="15.5" hidden="1">
      <c r="B736" s="122"/>
      <c r="C736" s="123"/>
      <c r="D736" s="137"/>
      <c r="E736" s="137"/>
      <c r="F736" s="137"/>
    </row>
    <row r="737" spans="2:6" ht="15.5" hidden="1">
      <c r="B737" s="122"/>
      <c r="C737" s="123"/>
      <c r="D737" s="137"/>
      <c r="E737" s="137"/>
      <c r="F737" s="137"/>
    </row>
    <row r="738" spans="2:6" ht="15.5" hidden="1">
      <c r="B738" s="122"/>
      <c r="C738" s="123"/>
      <c r="D738" s="137"/>
      <c r="E738" s="137"/>
      <c r="F738" s="137"/>
    </row>
    <row r="739" spans="2:6" ht="15.5" hidden="1">
      <c r="B739" s="122"/>
      <c r="C739" s="123"/>
      <c r="D739" s="137"/>
      <c r="E739" s="137"/>
      <c r="F739" s="137"/>
    </row>
    <row r="740" spans="2:6" ht="15.5" hidden="1">
      <c r="B740" s="122"/>
      <c r="C740" s="123"/>
      <c r="D740" s="137"/>
      <c r="E740" s="137"/>
      <c r="F740" s="137"/>
    </row>
    <row r="741" spans="2:6" ht="15.5" hidden="1">
      <c r="B741" s="122"/>
      <c r="C741" s="123"/>
      <c r="D741" s="137"/>
      <c r="E741" s="137"/>
      <c r="F741" s="137"/>
    </row>
    <row r="742" spans="2:6" ht="15.5" hidden="1">
      <c r="B742" s="122"/>
      <c r="C742" s="123"/>
      <c r="D742" s="137"/>
      <c r="E742" s="137"/>
      <c r="F742" s="137"/>
    </row>
    <row r="743" spans="2:6" ht="15.5" hidden="1">
      <c r="B743" s="122"/>
      <c r="C743" s="123"/>
      <c r="D743" s="137"/>
      <c r="E743" s="137"/>
      <c r="F743" s="137"/>
    </row>
    <row r="744" spans="2:6" ht="15.5" hidden="1">
      <c r="B744" s="122"/>
      <c r="C744" s="123"/>
      <c r="D744" s="137"/>
      <c r="E744" s="137"/>
      <c r="F744" s="137"/>
    </row>
    <row r="745" spans="2:6" ht="15.5" hidden="1">
      <c r="B745" s="122"/>
      <c r="C745" s="123"/>
      <c r="D745" s="137"/>
      <c r="E745" s="137"/>
      <c r="F745" s="137"/>
    </row>
    <row r="746" spans="2:6" ht="15.5" hidden="1">
      <c r="B746" s="122"/>
      <c r="C746" s="123"/>
      <c r="D746" s="137"/>
      <c r="E746" s="137"/>
      <c r="F746" s="137"/>
    </row>
    <row r="747" spans="2:6" ht="15.5" hidden="1">
      <c r="B747" s="122"/>
      <c r="C747" s="123"/>
      <c r="D747" s="137"/>
      <c r="E747" s="137"/>
      <c r="F747" s="137"/>
    </row>
    <row r="748" spans="2:6" ht="15.5" hidden="1">
      <c r="B748" s="122"/>
      <c r="C748" s="123"/>
      <c r="D748" s="137"/>
      <c r="E748" s="137"/>
      <c r="F748" s="137"/>
    </row>
    <row r="749" spans="2:6" ht="15.5" hidden="1">
      <c r="B749" s="122"/>
      <c r="C749" s="123"/>
      <c r="D749" s="137"/>
      <c r="E749" s="137"/>
      <c r="F749" s="137"/>
    </row>
    <row r="750" spans="2:6" ht="15.5" hidden="1">
      <c r="B750" s="122"/>
      <c r="C750" s="123"/>
      <c r="D750" s="137"/>
      <c r="E750" s="137"/>
      <c r="F750" s="137"/>
    </row>
    <row r="751" spans="2:6" ht="15.5" hidden="1">
      <c r="B751" s="122"/>
      <c r="C751" s="123"/>
      <c r="D751" s="137"/>
      <c r="E751" s="137"/>
      <c r="F751" s="137"/>
    </row>
    <row r="752" spans="2:6" ht="15.5" hidden="1">
      <c r="B752" s="122"/>
      <c r="C752" s="123"/>
      <c r="D752" s="137"/>
      <c r="E752" s="137"/>
      <c r="F752" s="137"/>
    </row>
    <row r="753" spans="2:6" ht="15.5" hidden="1">
      <c r="B753" s="122"/>
      <c r="C753" s="123"/>
      <c r="D753" s="137"/>
      <c r="E753" s="137"/>
      <c r="F753" s="137"/>
    </row>
    <row r="754" spans="2:6" ht="15.5" hidden="1">
      <c r="B754" s="122"/>
      <c r="C754" s="123"/>
      <c r="D754" s="137"/>
      <c r="E754" s="137"/>
      <c r="F754" s="137"/>
    </row>
    <row r="755" spans="2:6" ht="15.5" hidden="1">
      <c r="B755" s="122"/>
      <c r="C755" s="123"/>
      <c r="D755" s="137"/>
      <c r="E755" s="137"/>
      <c r="F755" s="137"/>
    </row>
    <row r="756" spans="2:6" ht="15.5" hidden="1">
      <c r="B756" s="122"/>
      <c r="C756" s="123"/>
      <c r="D756" s="137"/>
      <c r="E756" s="137"/>
      <c r="F756" s="137"/>
    </row>
    <row r="757" spans="2:6" ht="15.5" hidden="1">
      <c r="B757" s="122"/>
      <c r="C757" s="123"/>
      <c r="D757" s="137"/>
      <c r="E757" s="137"/>
      <c r="F757" s="137"/>
    </row>
    <row r="758" spans="2:6" ht="15.5" hidden="1">
      <c r="B758" s="122"/>
      <c r="C758" s="123"/>
      <c r="D758" s="137"/>
      <c r="E758" s="137"/>
      <c r="F758" s="137"/>
    </row>
    <row r="759" spans="2:6" ht="15.5" hidden="1">
      <c r="B759" s="122"/>
      <c r="C759" s="123"/>
      <c r="D759" s="137"/>
      <c r="E759" s="137"/>
      <c r="F759" s="137"/>
    </row>
    <row r="760" spans="2:6" ht="15.5" hidden="1">
      <c r="B760" s="122"/>
      <c r="C760" s="123"/>
      <c r="D760" s="137"/>
      <c r="E760" s="137"/>
      <c r="F760" s="137"/>
    </row>
    <row r="761" spans="2:6" ht="15.5" hidden="1">
      <c r="B761" s="122"/>
      <c r="C761" s="123"/>
      <c r="D761" s="137"/>
      <c r="E761" s="137"/>
      <c r="F761" s="137"/>
    </row>
    <row r="762" spans="2:6" ht="15.5" hidden="1">
      <c r="B762" s="122"/>
      <c r="C762" s="123"/>
      <c r="D762" s="137"/>
      <c r="E762" s="137"/>
      <c r="F762" s="137"/>
    </row>
    <row r="763" spans="2:6" ht="15.5" hidden="1">
      <c r="B763" s="122"/>
      <c r="C763" s="123"/>
      <c r="D763" s="137"/>
      <c r="E763" s="137"/>
      <c r="F763" s="137"/>
    </row>
    <row r="764" spans="2:6" ht="15.5" hidden="1">
      <c r="B764" s="122"/>
      <c r="C764" s="123"/>
      <c r="D764" s="137"/>
      <c r="E764" s="137"/>
      <c r="F764" s="137"/>
    </row>
    <row r="765" spans="2:6" ht="15.5" hidden="1">
      <c r="B765" s="122"/>
      <c r="C765" s="123"/>
      <c r="D765" s="137"/>
      <c r="E765" s="137"/>
      <c r="F765" s="137"/>
    </row>
    <row r="766" spans="2:6" ht="15.5" hidden="1">
      <c r="B766" s="122"/>
      <c r="C766" s="123"/>
      <c r="D766" s="137"/>
      <c r="E766" s="137"/>
      <c r="F766" s="137"/>
    </row>
    <row r="767" spans="2:6" ht="15.5" hidden="1">
      <c r="B767" s="122"/>
      <c r="C767" s="123"/>
      <c r="D767" s="137"/>
      <c r="E767" s="137"/>
      <c r="F767" s="137"/>
    </row>
    <row r="768" spans="2:6" ht="15.5" hidden="1">
      <c r="B768" s="122"/>
      <c r="C768" s="123"/>
      <c r="D768" s="137"/>
      <c r="E768" s="137"/>
      <c r="F768" s="137"/>
    </row>
    <row r="769" spans="2:6" ht="15.5" hidden="1">
      <c r="B769" s="122"/>
      <c r="C769" s="123"/>
      <c r="D769" s="137"/>
      <c r="E769" s="137"/>
      <c r="F769" s="137"/>
    </row>
    <row r="770" spans="2:6" ht="15.5" hidden="1">
      <c r="B770" s="122"/>
      <c r="C770" s="123"/>
      <c r="D770" s="137"/>
      <c r="E770" s="137"/>
      <c r="F770" s="137"/>
    </row>
    <row r="771" spans="2:6" ht="15.5" hidden="1">
      <c r="B771" s="122"/>
      <c r="C771" s="123"/>
      <c r="D771" s="137"/>
      <c r="E771" s="137"/>
      <c r="F771" s="137"/>
    </row>
    <row r="772" spans="2:6" ht="15.5" hidden="1">
      <c r="B772" s="122"/>
      <c r="C772" s="123"/>
      <c r="D772" s="137"/>
      <c r="E772" s="137"/>
      <c r="F772" s="137"/>
    </row>
    <row r="773" spans="2:6" ht="15.5" hidden="1">
      <c r="B773" s="122"/>
      <c r="C773" s="123"/>
      <c r="D773" s="137"/>
      <c r="E773" s="137"/>
      <c r="F773" s="137"/>
    </row>
    <row r="774" spans="2:6" ht="15.5" hidden="1">
      <c r="B774" s="122"/>
      <c r="C774" s="123"/>
      <c r="D774" s="137"/>
      <c r="E774" s="137"/>
      <c r="F774" s="137"/>
    </row>
    <row r="775" spans="2:6" ht="15.5" hidden="1">
      <c r="B775" s="122"/>
      <c r="C775" s="123"/>
      <c r="D775" s="137"/>
      <c r="E775" s="137"/>
      <c r="F775" s="137"/>
    </row>
    <row r="776" spans="2:6" ht="15.5" hidden="1">
      <c r="B776" s="122"/>
      <c r="C776" s="123"/>
      <c r="D776" s="137"/>
      <c r="E776" s="137"/>
      <c r="F776" s="137"/>
    </row>
    <row r="777" spans="2:6" ht="15.5" hidden="1">
      <c r="B777" s="122"/>
      <c r="C777" s="123"/>
      <c r="D777" s="137"/>
      <c r="E777" s="137"/>
      <c r="F777" s="137"/>
    </row>
    <row r="778" spans="2:6" ht="15.5" hidden="1">
      <c r="B778" s="122"/>
      <c r="C778" s="123"/>
      <c r="D778" s="137"/>
      <c r="E778" s="137"/>
      <c r="F778" s="137"/>
    </row>
    <row r="779" spans="2:6" ht="15.5" hidden="1">
      <c r="B779" s="122"/>
      <c r="C779" s="123"/>
      <c r="D779" s="137"/>
      <c r="E779" s="137"/>
      <c r="F779" s="137"/>
    </row>
    <row r="780" spans="2:6" ht="15.5" hidden="1">
      <c r="B780" s="122"/>
      <c r="C780" s="123"/>
      <c r="D780" s="137"/>
      <c r="E780" s="137"/>
      <c r="F780" s="137"/>
    </row>
    <row r="781" spans="2:6" ht="15.5" hidden="1">
      <c r="B781" s="122"/>
      <c r="C781" s="123"/>
      <c r="D781" s="137"/>
      <c r="E781" s="137"/>
      <c r="F781" s="137"/>
    </row>
    <row r="782" spans="2:6" ht="15.5" hidden="1">
      <c r="B782" s="122"/>
      <c r="C782" s="123"/>
      <c r="D782" s="137"/>
      <c r="E782" s="137"/>
      <c r="F782" s="137"/>
    </row>
    <row r="783" spans="2:6" ht="15.5" hidden="1">
      <c r="B783" s="122"/>
      <c r="C783" s="123"/>
      <c r="D783" s="137"/>
      <c r="E783" s="137"/>
      <c r="F783" s="137"/>
    </row>
    <row r="784" spans="2:6" ht="15.5">
      <c r="B784" s="122"/>
      <c r="C784" s="123"/>
      <c r="D784" s="137"/>
      <c r="E784" s="137"/>
      <c r="F784" s="137"/>
    </row>
    <row r="785" spans="2:6" ht="15.5">
      <c r="B785" s="122"/>
      <c r="C785" s="123"/>
      <c r="D785" s="137"/>
      <c r="E785" s="137"/>
      <c r="F785" s="137"/>
    </row>
    <row r="786" spans="2:6" ht="15.5">
      <c r="B786" s="122"/>
      <c r="C786" s="123"/>
      <c r="D786" s="137"/>
      <c r="E786" s="137"/>
      <c r="F786" s="137"/>
    </row>
    <row r="787" spans="2:6" ht="15.5">
      <c r="B787" s="122"/>
      <c r="C787" s="123"/>
      <c r="D787" s="137"/>
      <c r="E787" s="137"/>
      <c r="F787" s="137"/>
    </row>
    <row r="788" spans="2:6" ht="15.5">
      <c r="B788" s="122"/>
      <c r="C788" s="123"/>
      <c r="D788" s="137"/>
      <c r="E788" s="137"/>
      <c r="F788" s="137"/>
    </row>
    <row r="789" spans="2:6" ht="15.5">
      <c r="B789" s="122"/>
      <c r="C789" s="123"/>
      <c r="D789" s="137"/>
      <c r="E789" s="137"/>
      <c r="F789" s="137"/>
    </row>
    <row r="790" spans="2:6" ht="15.5">
      <c r="B790" s="122"/>
      <c r="C790" s="123"/>
      <c r="D790" s="137"/>
      <c r="E790" s="137"/>
      <c r="F790" s="137"/>
    </row>
    <row r="791" spans="2:6" ht="15.5">
      <c r="B791" s="122"/>
      <c r="C791" s="123"/>
      <c r="D791" s="137"/>
      <c r="E791" s="137"/>
      <c r="F791" s="137"/>
    </row>
    <row r="792" spans="2:6" ht="15.5">
      <c r="B792" s="122"/>
      <c r="C792" s="123"/>
      <c r="D792" s="137"/>
      <c r="E792" s="137"/>
      <c r="F792" s="137"/>
    </row>
    <row r="793" spans="2:6" ht="15.5">
      <c r="B793" s="122"/>
      <c r="C793" s="123"/>
      <c r="D793" s="137"/>
      <c r="E793" s="137"/>
      <c r="F793" s="137"/>
    </row>
    <row r="794" spans="2:6" ht="15.5" hidden="1">
      <c r="B794" s="122"/>
      <c r="C794" s="123"/>
      <c r="D794" s="137"/>
      <c r="E794" s="137"/>
      <c r="F794" s="137"/>
    </row>
    <row r="795" spans="2:6" ht="15.5" hidden="1">
      <c r="B795" s="122"/>
      <c r="C795" s="123"/>
      <c r="D795" s="137"/>
      <c r="E795" s="137"/>
      <c r="F795" s="137"/>
    </row>
    <row r="796" spans="2:6" ht="15.5" hidden="1">
      <c r="B796" s="122"/>
      <c r="C796" s="123"/>
      <c r="D796" s="137"/>
      <c r="E796" s="137"/>
      <c r="F796" s="137"/>
    </row>
    <row r="797" spans="2:6" ht="15.5" hidden="1">
      <c r="B797" s="122"/>
      <c r="C797" s="123"/>
      <c r="D797" s="137"/>
      <c r="E797" s="137"/>
      <c r="F797" s="137"/>
    </row>
    <row r="798" spans="2:6" ht="15.5" hidden="1">
      <c r="B798" s="122"/>
      <c r="C798" s="123"/>
      <c r="D798" s="137"/>
      <c r="E798" s="137"/>
      <c r="F798" s="137"/>
    </row>
    <row r="799" spans="2:6" ht="15.5" hidden="1">
      <c r="B799" s="122"/>
      <c r="C799" s="123"/>
      <c r="D799" s="137"/>
      <c r="E799" s="137"/>
      <c r="F799" s="137"/>
    </row>
    <row r="800" spans="2:6" ht="15.5" hidden="1">
      <c r="B800" s="122"/>
      <c r="C800" s="123"/>
      <c r="D800" s="137"/>
      <c r="E800" s="137"/>
      <c r="F800" s="137"/>
    </row>
    <row r="801" spans="2:6" ht="15.5" hidden="1">
      <c r="B801" s="122"/>
      <c r="C801" s="123"/>
      <c r="D801" s="137"/>
      <c r="E801" s="137"/>
      <c r="F801" s="137"/>
    </row>
    <row r="802" spans="2:6" ht="15.5" hidden="1">
      <c r="B802" s="122"/>
      <c r="C802" s="123"/>
      <c r="D802" s="137"/>
      <c r="E802" s="137"/>
      <c r="F802" s="137"/>
    </row>
    <row r="803" spans="2:6" ht="15.5" hidden="1">
      <c r="B803" s="122"/>
      <c r="C803" s="123"/>
      <c r="D803" s="137"/>
      <c r="E803" s="137"/>
      <c r="F803" s="137"/>
    </row>
    <row r="804" spans="2:6" ht="15.5" hidden="1">
      <c r="B804" s="122"/>
      <c r="C804" s="123"/>
      <c r="D804" s="137"/>
      <c r="E804" s="137"/>
      <c r="F804" s="137"/>
    </row>
    <row r="805" spans="2:6" ht="15.5" hidden="1">
      <c r="B805" s="122"/>
      <c r="C805" s="123"/>
      <c r="D805" s="137"/>
      <c r="E805" s="137"/>
      <c r="F805" s="137"/>
    </row>
    <row r="806" spans="2:6" ht="15.5" hidden="1">
      <c r="B806" s="122"/>
      <c r="C806" s="123"/>
      <c r="D806" s="137"/>
      <c r="E806" s="137"/>
      <c r="F806" s="137"/>
    </row>
    <row r="807" spans="2:6" ht="15.5" hidden="1">
      <c r="B807" s="122"/>
      <c r="C807" s="123"/>
      <c r="D807" s="137"/>
      <c r="E807" s="137"/>
      <c r="F807" s="137"/>
    </row>
    <row r="808" spans="2:6" ht="15.5" hidden="1">
      <c r="B808" s="122"/>
      <c r="C808" s="123"/>
      <c r="D808" s="137"/>
      <c r="E808" s="137"/>
      <c r="F808" s="137"/>
    </row>
    <row r="809" spans="2:6" ht="15.5" hidden="1">
      <c r="B809" s="122"/>
      <c r="C809" s="123"/>
      <c r="D809" s="137"/>
      <c r="E809" s="137"/>
      <c r="F809" s="137"/>
    </row>
    <row r="810" spans="2:6" ht="15.5" hidden="1">
      <c r="B810" s="122"/>
      <c r="C810" s="123"/>
      <c r="D810" s="137"/>
      <c r="E810" s="137"/>
      <c r="F810" s="137"/>
    </row>
    <row r="811" spans="2:6" ht="15.5" hidden="1">
      <c r="B811" s="122"/>
      <c r="C811" s="123"/>
      <c r="D811" s="137"/>
      <c r="E811" s="137"/>
      <c r="F811" s="137"/>
    </row>
    <row r="812" spans="2:6" ht="15.5" hidden="1">
      <c r="B812" s="122"/>
      <c r="C812" s="123"/>
      <c r="D812" s="137"/>
      <c r="E812" s="137"/>
      <c r="F812" s="137"/>
    </row>
    <row r="813" spans="2:6" ht="15.5" hidden="1">
      <c r="B813" s="122"/>
      <c r="C813" s="123"/>
      <c r="D813" s="137"/>
      <c r="E813" s="137"/>
      <c r="F813" s="137"/>
    </row>
    <row r="814" spans="2:6" ht="15.5" hidden="1">
      <c r="B814" s="122"/>
      <c r="C814" s="123"/>
      <c r="D814" s="137"/>
      <c r="E814" s="137"/>
      <c r="F814" s="137"/>
    </row>
    <row r="815" spans="2:6" ht="15.5" hidden="1">
      <c r="B815" s="122"/>
      <c r="C815" s="123"/>
      <c r="D815" s="137"/>
      <c r="E815" s="137"/>
      <c r="F815" s="137"/>
    </row>
    <row r="816" spans="2:6" ht="15.5" hidden="1">
      <c r="B816" s="122"/>
      <c r="C816" s="123"/>
      <c r="D816" s="137"/>
      <c r="E816" s="137"/>
      <c r="F816" s="137"/>
    </row>
    <row r="817" spans="1:6" ht="15.5" hidden="1">
      <c r="B817" s="122"/>
      <c r="C817" s="123"/>
      <c r="D817" s="137"/>
      <c r="E817" s="137"/>
      <c r="F817" s="137"/>
    </row>
    <row r="818" spans="1:6" ht="15.5" hidden="1">
      <c r="B818" s="122"/>
      <c r="C818" s="123"/>
      <c r="D818" s="137"/>
      <c r="E818" s="137"/>
      <c r="F818" s="137"/>
    </row>
    <row r="819" spans="1:6" ht="15.5" hidden="1">
      <c r="B819" s="122"/>
      <c r="C819" s="123"/>
      <c r="D819" s="137"/>
      <c r="E819" s="137"/>
      <c r="F819" s="137"/>
    </row>
    <row r="820" spans="1:6" ht="15.5">
      <c r="B820" s="122"/>
      <c r="C820" s="123"/>
      <c r="D820" s="137"/>
      <c r="E820" s="137"/>
      <c r="F820" s="137"/>
    </row>
    <row r="821" spans="1:6" ht="15.5">
      <c r="B821" s="122"/>
      <c r="C821" s="123"/>
      <c r="D821" s="137"/>
      <c r="E821" s="137"/>
      <c r="F821" s="137"/>
    </row>
    <row r="822" spans="1:6" ht="15.5">
      <c r="B822" s="122" t="str">
        <f>B205</f>
        <v>Mr.SHAFEEK N N</v>
      </c>
      <c r="C822" s="123" t="str">
        <f>C205</f>
        <v xml:space="preserve">M/S.SHAS DESIGN AND PRINTING </v>
      </c>
      <c r="D822" s="137"/>
      <c r="E822" s="137"/>
      <c r="F822" s="1"/>
    </row>
    <row r="823" spans="1:6" ht="15.5">
      <c r="B823" s="124"/>
      <c r="C823" s="124" t="str">
        <f>A206</f>
        <v>NEAR POST OFFICE, NILESHWAR</v>
      </c>
      <c r="D823" s="124"/>
      <c r="E823" s="124"/>
      <c r="F823" s="124"/>
    </row>
    <row r="824" spans="1:6" ht="15.5">
      <c r="B824" s="144" t="s">
        <v>564</v>
      </c>
      <c r="C824" s="123"/>
      <c r="D824" s="137"/>
      <c r="E824" s="137"/>
      <c r="F824" s="1"/>
    </row>
    <row r="825" spans="1:6" ht="15.5">
      <c r="B825" s="138" t="s">
        <v>557</v>
      </c>
      <c r="C825" s="136" t="s">
        <v>262</v>
      </c>
      <c r="D825" s="139" t="s">
        <v>558</v>
      </c>
      <c r="E825" s="139" t="s">
        <v>558</v>
      </c>
      <c r="F825" s="139" t="s">
        <v>558</v>
      </c>
    </row>
    <row r="826" spans="1:6" ht="15.5">
      <c r="A826" s="121"/>
      <c r="B826" s="148">
        <f>B596</f>
        <v>0</v>
      </c>
      <c r="C826" s="100"/>
      <c r="D826" s="141">
        <f>F597</f>
        <v>0</v>
      </c>
      <c r="E826" s="141">
        <f>D826</f>
        <v>0</v>
      </c>
      <c r="F826" s="141"/>
    </row>
    <row r="827" spans="1:6" ht="15.5">
      <c r="A827" s="121"/>
      <c r="B827" s="142" t="s">
        <v>559</v>
      </c>
      <c r="C827" s="100">
        <v>10</v>
      </c>
      <c r="D827" s="141"/>
      <c r="E827" s="130">
        <f>E826*10/100</f>
        <v>0</v>
      </c>
      <c r="F827" s="141">
        <f>E826-E827</f>
        <v>0</v>
      </c>
    </row>
    <row r="828" spans="1:6" ht="15.5">
      <c r="A828" s="121"/>
      <c r="B828" s="148">
        <f>B598</f>
        <v>0</v>
      </c>
      <c r="C828" s="100"/>
      <c r="D828" s="141">
        <f>F599</f>
        <v>0</v>
      </c>
      <c r="E828" s="141">
        <f t="shared" ref="E828:E854" si="2">D828</f>
        <v>0</v>
      </c>
      <c r="F828" s="141"/>
    </row>
    <row r="829" spans="1:6" ht="15.5">
      <c r="A829" s="121"/>
      <c r="B829" s="142" t="s">
        <v>559</v>
      </c>
      <c r="C829" s="100">
        <v>10</v>
      </c>
      <c r="D829" s="141"/>
      <c r="E829" s="130">
        <f>E828*10/100</f>
        <v>0</v>
      </c>
      <c r="F829" s="141">
        <f>E828-E829</f>
        <v>0</v>
      </c>
    </row>
    <row r="830" spans="1:6" ht="15.5">
      <c r="A830" s="121"/>
      <c r="B830" s="148" t="str">
        <f>B600</f>
        <v xml:space="preserve">INVERTOR 3KVA </v>
      </c>
      <c r="C830" s="100"/>
      <c r="D830" s="141">
        <f>F601</f>
        <v>51030</v>
      </c>
      <c r="E830" s="141">
        <f t="shared" si="2"/>
        <v>51030</v>
      </c>
      <c r="F830" s="141"/>
    </row>
    <row r="831" spans="1:6" ht="15.5">
      <c r="A831" s="121"/>
      <c r="B831" s="142" t="s">
        <v>559</v>
      </c>
      <c r="C831" s="100">
        <v>10</v>
      </c>
      <c r="D831" s="141"/>
      <c r="E831" s="130">
        <f>E830*10/100</f>
        <v>5103</v>
      </c>
      <c r="F831" s="141">
        <f>E830-E831</f>
        <v>45927</v>
      </c>
    </row>
    <row r="832" spans="1:6" ht="15.5" hidden="1">
      <c r="A832" s="121"/>
      <c r="B832" s="148" t="str">
        <f>B602</f>
        <v>GODREREJ A/C</v>
      </c>
      <c r="C832" s="100"/>
      <c r="D832" s="141">
        <f>F603</f>
        <v>23814</v>
      </c>
      <c r="E832" s="141">
        <f t="shared" si="2"/>
        <v>23814</v>
      </c>
      <c r="F832" s="141"/>
    </row>
    <row r="833" spans="1:6" ht="15.5" hidden="1">
      <c r="A833" s="121"/>
      <c r="B833" s="142" t="s">
        <v>559</v>
      </c>
      <c r="C833" s="100">
        <v>10</v>
      </c>
      <c r="D833" s="141"/>
      <c r="E833" s="130">
        <f>E832*10/100</f>
        <v>2381.4</v>
      </c>
      <c r="F833" s="141">
        <f>E832-E833</f>
        <v>21432.6</v>
      </c>
    </row>
    <row r="834" spans="1:6" ht="15.5" hidden="1">
      <c r="A834" s="121"/>
      <c r="B834" s="148" t="str">
        <f>B604</f>
        <v>LLOYD A/C</v>
      </c>
      <c r="C834" s="100"/>
      <c r="D834" s="141">
        <f>F605</f>
        <v>23814</v>
      </c>
      <c r="E834" s="141">
        <f t="shared" si="2"/>
        <v>23814</v>
      </c>
      <c r="F834" s="141"/>
    </row>
    <row r="835" spans="1:6" ht="15.5" hidden="1">
      <c r="A835" s="121"/>
      <c r="B835" s="142" t="s">
        <v>559</v>
      </c>
      <c r="C835" s="100">
        <v>10</v>
      </c>
      <c r="D835" s="141"/>
      <c r="E835" s="130">
        <f>E834*10/100</f>
        <v>2381.4</v>
      </c>
      <c r="F835" s="141">
        <f>E834-E835</f>
        <v>21432.6</v>
      </c>
    </row>
    <row r="836" spans="1:6" ht="15.5" hidden="1">
      <c r="A836" s="121"/>
      <c r="B836" s="148" t="str">
        <f>B606</f>
        <v>HALER A/C</v>
      </c>
      <c r="C836" s="100">
        <v>0</v>
      </c>
      <c r="D836" s="141">
        <f>F607</f>
        <v>27216</v>
      </c>
      <c r="E836" s="141">
        <f t="shared" si="2"/>
        <v>27216</v>
      </c>
      <c r="F836" s="141"/>
    </row>
    <row r="837" spans="1:6" ht="15.5" hidden="1">
      <c r="A837" s="121"/>
      <c r="B837" s="142" t="s">
        <v>559</v>
      </c>
      <c r="C837" s="100">
        <v>10</v>
      </c>
      <c r="D837" s="141"/>
      <c r="E837" s="130">
        <f>E836*10/100</f>
        <v>2721.6</v>
      </c>
      <c r="F837" s="141">
        <f>E836-E837</f>
        <v>24494.400000000001</v>
      </c>
    </row>
    <row r="838" spans="1:6" ht="15.5" hidden="1">
      <c r="A838" s="121"/>
      <c r="B838" s="148" t="str">
        <f>B608</f>
        <v>COMPUTER CHAIR , TABLE Etc.</v>
      </c>
      <c r="C838" s="100"/>
      <c r="D838" s="141">
        <f>F609</f>
        <v>57834</v>
      </c>
      <c r="E838" s="141">
        <f t="shared" si="2"/>
        <v>57834</v>
      </c>
      <c r="F838" s="141"/>
    </row>
    <row r="839" spans="1:6" ht="15.5" hidden="1">
      <c r="A839" s="121"/>
      <c r="B839" s="142" t="s">
        <v>559</v>
      </c>
      <c r="C839" s="100">
        <v>10</v>
      </c>
      <c r="D839" s="141"/>
      <c r="E839" s="130">
        <f>E838*10/100</f>
        <v>5783.4</v>
      </c>
      <c r="F839" s="141">
        <f>E838-E839</f>
        <v>52050.6</v>
      </c>
    </row>
    <row r="840" spans="1:6" ht="15.5" hidden="1">
      <c r="A840" s="121"/>
      <c r="B840" s="148">
        <f>B610</f>
        <v>0</v>
      </c>
      <c r="C840" s="100"/>
      <c r="D840" s="141">
        <f>F611</f>
        <v>0</v>
      </c>
      <c r="E840" s="141">
        <f t="shared" si="2"/>
        <v>0</v>
      </c>
      <c r="F840" s="141"/>
    </row>
    <row r="841" spans="1:6" ht="15.5" hidden="1">
      <c r="A841" s="121"/>
      <c r="B841" s="142" t="s">
        <v>559</v>
      </c>
      <c r="C841" s="100">
        <v>10</v>
      </c>
      <c r="D841" s="141"/>
      <c r="E841" s="130">
        <f>E840*10/100</f>
        <v>0</v>
      </c>
      <c r="F841" s="141">
        <f>E840-E841</f>
        <v>0</v>
      </c>
    </row>
    <row r="842" spans="1:6" ht="15.5" hidden="1">
      <c r="A842" s="121"/>
      <c r="B842" s="148">
        <f>B612</f>
        <v>0</v>
      </c>
      <c r="C842" s="100"/>
      <c r="D842" s="141">
        <f>F613</f>
        <v>0</v>
      </c>
      <c r="E842" s="141">
        <f t="shared" si="2"/>
        <v>0</v>
      </c>
      <c r="F842" s="141"/>
    </row>
    <row r="843" spans="1:6" ht="15.5" hidden="1">
      <c r="A843" s="121"/>
      <c r="B843" s="142" t="s">
        <v>559</v>
      </c>
      <c r="C843" s="100">
        <v>10</v>
      </c>
      <c r="D843" s="137"/>
      <c r="E843" s="130">
        <f>E842*10/100</f>
        <v>0</v>
      </c>
      <c r="F843" s="141">
        <f>E842-E843</f>
        <v>0</v>
      </c>
    </row>
    <row r="844" spans="1:6" ht="15.5" hidden="1">
      <c r="A844" s="121"/>
      <c r="B844" s="148">
        <f>B614</f>
        <v>0</v>
      </c>
      <c r="C844" s="100"/>
      <c r="D844" s="141">
        <f>F615</f>
        <v>0</v>
      </c>
      <c r="E844" s="141">
        <f t="shared" si="2"/>
        <v>0</v>
      </c>
      <c r="F844" s="141"/>
    </row>
    <row r="845" spans="1:6" ht="15.5" hidden="1">
      <c r="A845" s="121"/>
      <c r="B845" s="142" t="s">
        <v>559</v>
      </c>
      <c r="C845" s="100">
        <v>10</v>
      </c>
      <c r="D845" s="141"/>
      <c r="E845" s="130">
        <f>E844*10/100</f>
        <v>0</v>
      </c>
      <c r="F845" s="141">
        <f>E844-E845</f>
        <v>0</v>
      </c>
    </row>
    <row r="846" spans="1:6" ht="15.5" hidden="1">
      <c r="A846" s="121"/>
      <c r="B846" s="148">
        <f>B616</f>
        <v>0</v>
      </c>
      <c r="C846" s="100"/>
      <c r="D846" s="141">
        <f>F617</f>
        <v>0</v>
      </c>
      <c r="E846" s="141">
        <f t="shared" si="2"/>
        <v>0</v>
      </c>
      <c r="F846" s="141"/>
    </row>
    <row r="847" spans="1:6" ht="15.5" hidden="1">
      <c r="A847" s="121"/>
      <c r="B847" s="142" t="s">
        <v>559</v>
      </c>
      <c r="C847" s="100">
        <v>10</v>
      </c>
      <c r="D847" s="141"/>
      <c r="E847" s="130">
        <f>E846*10/100</f>
        <v>0</v>
      </c>
      <c r="F847" s="141">
        <f>E846-E847</f>
        <v>0</v>
      </c>
    </row>
    <row r="848" spans="1:6" ht="15.5" hidden="1">
      <c r="A848" s="121"/>
      <c r="B848" s="148">
        <f>B618</f>
        <v>0</v>
      </c>
      <c r="C848" s="100"/>
      <c r="D848" s="141">
        <f>F619</f>
        <v>0</v>
      </c>
      <c r="E848" s="141">
        <f t="shared" si="2"/>
        <v>0</v>
      </c>
      <c r="F848" s="141"/>
    </row>
    <row r="849" spans="1:6" ht="15.5" hidden="1">
      <c r="A849" s="121"/>
      <c r="B849" s="142" t="s">
        <v>559</v>
      </c>
      <c r="C849" s="100">
        <v>10</v>
      </c>
      <c r="D849" s="141"/>
      <c r="E849" s="130">
        <f>E848*10/100</f>
        <v>0</v>
      </c>
      <c r="F849" s="141">
        <f>E848-E849</f>
        <v>0</v>
      </c>
    </row>
    <row r="850" spans="1:6" ht="15.5" hidden="1">
      <c r="A850" s="121"/>
      <c r="B850" s="148">
        <f>B620</f>
        <v>0</v>
      </c>
      <c r="C850" s="100"/>
      <c r="D850" s="141">
        <f>F621</f>
        <v>0</v>
      </c>
      <c r="E850" s="141">
        <f t="shared" si="2"/>
        <v>0</v>
      </c>
      <c r="F850" s="141"/>
    </row>
    <row r="851" spans="1:6" ht="15.5" hidden="1">
      <c r="A851" s="121"/>
      <c r="B851" s="142" t="s">
        <v>559</v>
      </c>
      <c r="C851" s="100">
        <v>10</v>
      </c>
      <c r="D851" s="141"/>
      <c r="E851" s="130">
        <f>E850*10/100</f>
        <v>0</v>
      </c>
      <c r="F851" s="141">
        <f>E850-E851</f>
        <v>0</v>
      </c>
    </row>
    <row r="852" spans="1:6" ht="15.5" hidden="1">
      <c r="A852" s="121"/>
      <c r="B852" s="148">
        <f>B622</f>
        <v>0</v>
      </c>
      <c r="C852" s="100"/>
      <c r="D852" s="141">
        <f>F623</f>
        <v>0</v>
      </c>
      <c r="E852" s="141">
        <f t="shared" si="2"/>
        <v>0</v>
      </c>
      <c r="F852" s="141"/>
    </row>
    <row r="853" spans="1:6" ht="15.5" hidden="1">
      <c r="A853" s="121"/>
      <c r="B853" s="142" t="s">
        <v>559</v>
      </c>
      <c r="C853" s="100">
        <v>10</v>
      </c>
      <c r="D853" s="141"/>
      <c r="E853" s="130">
        <f>E852*10/100</f>
        <v>0</v>
      </c>
      <c r="F853" s="141">
        <f>E852-E853</f>
        <v>0</v>
      </c>
    </row>
    <row r="854" spans="1:6" ht="15.5" hidden="1">
      <c r="A854" s="121"/>
      <c r="B854" s="148">
        <f>B624</f>
        <v>0</v>
      </c>
      <c r="C854" s="100"/>
      <c r="D854" s="141">
        <f>F625</f>
        <v>0</v>
      </c>
      <c r="E854" s="141">
        <f t="shared" si="2"/>
        <v>0</v>
      </c>
      <c r="F854" s="141"/>
    </row>
    <row r="855" spans="1:6" ht="15.5" hidden="1">
      <c r="A855" s="121"/>
      <c r="B855" s="142" t="s">
        <v>559</v>
      </c>
      <c r="C855" s="100">
        <v>10</v>
      </c>
      <c r="D855" s="141"/>
      <c r="E855" s="130">
        <f>E854*10/100</f>
        <v>0</v>
      </c>
      <c r="F855" s="141">
        <f>E854-E855</f>
        <v>0</v>
      </c>
    </row>
    <row r="856" spans="1:6" ht="15.5" hidden="1">
      <c r="A856" s="121"/>
      <c r="B856" s="148">
        <f>B626</f>
        <v>0</v>
      </c>
      <c r="C856" s="100"/>
      <c r="D856" s="141">
        <f>F627</f>
        <v>0</v>
      </c>
      <c r="E856" s="141">
        <f>F627</f>
        <v>0</v>
      </c>
      <c r="F856" s="141"/>
    </row>
    <row r="857" spans="1:6" ht="15.5" hidden="1">
      <c r="B857" s="142" t="s">
        <v>559</v>
      </c>
      <c r="C857" s="100"/>
      <c r="D857" s="141"/>
      <c r="E857" s="130">
        <f>E856*10/100</f>
        <v>0</v>
      </c>
      <c r="F857" s="141">
        <f>E856-E857</f>
        <v>0</v>
      </c>
    </row>
    <row r="858" spans="1:6" ht="15.5" hidden="1">
      <c r="B858" s="144">
        <f>B628</f>
        <v>0</v>
      </c>
      <c r="C858" s="100"/>
      <c r="D858" s="141">
        <f>F629</f>
        <v>0</v>
      </c>
      <c r="E858" s="141">
        <f>D858</f>
        <v>0</v>
      </c>
      <c r="F858" s="141"/>
    </row>
    <row r="859" spans="1:6" ht="15.5" hidden="1">
      <c r="B859" s="142" t="s">
        <v>559</v>
      </c>
      <c r="C859" s="100"/>
      <c r="D859" s="141"/>
      <c r="E859" s="130">
        <f>E858*10/100</f>
        <v>0</v>
      </c>
      <c r="F859" s="141">
        <f>E858-E859</f>
        <v>0</v>
      </c>
    </row>
    <row r="860" spans="1:6" ht="15.5" hidden="1">
      <c r="B860" s="144">
        <f>B630</f>
        <v>0</v>
      </c>
      <c r="C860" s="100"/>
      <c r="D860" s="141">
        <f>F631</f>
        <v>0</v>
      </c>
      <c r="E860" s="141">
        <f>D860</f>
        <v>0</v>
      </c>
      <c r="F860" s="141"/>
    </row>
    <row r="861" spans="1:6" ht="15.5" hidden="1">
      <c r="B861" s="142" t="s">
        <v>559</v>
      </c>
      <c r="C861" s="100"/>
      <c r="D861" s="141"/>
      <c r="E861" s="130">
        <f>E860*10/100</f>
        <v>0</v>
      </c>
      <c r="F861" s="141">
        <f>E860-E861</f>
        <v>0</v>
      </c>
    </row>
    <row r="862" spans="1:6" ht="15.5" hidden="1">
      <c r="B862" s="144">
        <f>B632</f>
        <v>0</v>
      </c>
      <c r="C862" s="100"/>
      <c r="D862" s="141">
        <f>F633</f>
        <v>0</v>
      </c>
      <c r="E862" s="141">
        <f>D862</f>
        <v>0</v>
      </c>
      <c r="F862" s="141"/>
    </row>
    <row r="863" spans="1:6" ht="15.5" hidden="1">
      <c r="B863" s="142" t="s">
        <v>559</v>
      </c>
      <c r="C863" s="100"/>
      <c r="D863" s="141"/>
      <c r="E863" s="130">
        <f>E862*10/100</f>
        <v>0</v>
      </c>
      <c r="F863" s="141">
        <f>E862-E863</f>
        <v>0</v>
      </c>
    </row>
    <row r="864" spans="1:6" ht="15.5" hidden="1">
      <c r="B864" s="142"/>
      <c r="C864" s="100"/>
      <c r="D864" s="141"/>
      <c r="E864" s="141"/>
      <c r="F864" s="141"/>
    </row>
    <row r="865" spans="2:6" ht="15.5" hidden="1">
      <c r="B865" s="142"/>
      <c r="C865" s="100"/>
      <c r="D865" s="141"/>
      <c r="E865" s="130"/>
      <c r="F865" s="141"/>
    </row>
    <row r="866" spans="2:6" ht="15.5" hidden="1">
      <c r="B866" s="142"/>
      <c r="C866" s="100"/>
      <c r="D866" s="141"/>
      <c r="E866" s="141"/>
      <c r="F866" s="141"/>
    </row>
    <row r="867" spans="2:6" ht="15.5" hidden="1">
      <c r="B867" s="142"/>
      <c r="C867" s="100"/>
      <c r="D867" s="141"/>
      <c r="E867" s="130"/>
      <c r="F867" s="141"/>
    </row>
    <row r="868" spans="2:6" ht="15.5" hidden="1">
      <c r="B868" s="142"/>
      <c r="C868" s="100"/>
      <c r="D868" s="141"/>
      <c r="E868" s="141"/>
      <c r="F868" s="141"/>
    </row>
    <row r="869" spans="2:6" ht="15.5" hidden="1">
      <c r="B869" s="142"/>
      <c r="C869" s="100"/>
      <c r="D869" s="141"/>
      <c r="E869" s="130"/>
      <c r="F869" s="141"/>
    </row>
    <row r="870" spans="2:6" ht="15.5" hidden="1">
      <c r="B870" s="142"/>
      <c r="C870" s="100"/>
      <c r="D870" s="141"/>
      <c r="E870" s="141"/>
      <c r="F870" s="141"/>
    </row>
    <row r="871" spans="2:6" ht="15.5" hidden="1">
      <c r="B871" s="142"/>
      <c r="C871" s="100"/>
      <c r="D871" s="141"/>
      <c r="E871" s="130"/>
      <c r="F871" s="141"/>
    </row>
    <row r="872" spans="2:6" ht="15.5" hidden="1">
      <c r="B872" s="142"/>
      <c r="C872" s="100"/>
      <c r="D872" s="141"/>
      <c r="E872" s="141"/>
      <c r="F872" s="141"/>
    </row>
    <row r="873" spans="2:6" ht="15.5" hidden="1">
      <c r="B873" s="142"/>
      <c r="C873" s="100"/>
      <c r="D873" s="141"/>
      <c r="E873" s="130"/>
      <c r="F873" s="141"/>
    </row>
    <row r="874" spans="2:6" ht="15.5" hidden="1">
      <c r="B874" s="142"/>
      <c r="C874" s="100"/>
      <c r="D874" s="141"/>
      <c r="E874" s="141"/>
      <c r="F874" s="141"/>
    </row>
    <row r="875" spans="2:6" ht="15.5" hidden="1">
      <c r="B875" s="142"/>
      <c r="C875" s="100"/>
      <c r="D875" s="141"/>
      <c r="E875" s="130"/>
      <c r="F875" s="141"/>
    </row>
    <row r="876" spans="2:6" ht="15.5" hidden="1">
      <c r="B876" s="142"/>
      <c r="C876" s="100"/>
      <c r="D876" s="141"/>
      <c r="E876" s="141"/>
      <c r="F876" s="141"/>
    </row>
    <row r="877" spans="2:6" ht="15.5" hidden="1">
      <c r="B877" s="142"/>
      <c r="C877" s="100"/>
      <c r="D877" s="141"/>
      <c r="E877" s="130"/>
      <c r="F877" s="141"/>
    </row>
    <row r="878" spans="2:6" ht="15.5" hidden="1">
      <c r="B878" s="142"/>
      <c r="C878" s="100"/>
      <c r="D878" s="141"/>
      <c r="E878" s="141"/>
      <c r="F878" s="141"/>
    </row>
    <row r="879" spans="2:6" ht="15.5" hidden="1">
      <c r="B879" s="142"/>
      <c r="C879" s="100"/>
      <c r="D879" s="141"/>
      <c r="E879" s="130"/>
      <c r="F879" s="141"/>
    </row>
    <row r="880" spans="2:6" ht="15.5" hidden="1">
      <c r="B880" s="142"/>
      <c r="C880" s="100"/>
      <c r="D880" s="141"/>
      <c r="E880" s="141"/>
      <c r="F880" s="141"/>
    </row>
    <row r="881" spans="2:6" ht="15.5" hidden="1">
      <c r="B881" s="142"/>
      <c r="C881" s="100"/>
      <c r="D881" s="141"/>
      <c r="E881" s="130"/>
      <c r="F881" s="141"/>
    </row>
    <row r="882" spans="2:6" ht="15.5" hidden="1">
      <c r="B882" s="142"/>
      <c r="C882" s="100"/>
      <c r="D882" s="141"/>
      <c r="E882" s="141"/>
      <c r="F882" s="141"/>
    </row>
    <row r="883" spans="2:6" ht="15.5" hidden="1">
      <c r="B883" s="142"/>
      <c r="C883" s="100"/>
      <c r="D883" s="141"/>
      <c r="E883" s="130"/>
      <c r="F883" s="141"/>
    </row>
    <row r="884" spans="2:6" ht="15.5" hidden="1">
      <c r="B884" s="142"/>
      <c r="C884" s="100"/>
      <c r="D884" s="141"/>
      <c r="E884" s="141"/>
      <c r="F884" s="141"/>
    </row>
    <row r="885" spans="2:6" ht="15.5" hidden="1">
      <c r="B885" s="142"/>
      <c r="C885" s="100"/>
      <c r="D885" s="141"/>
      <c r="E885" s="130"/>
      <c r="F885" s="141"/>
    </row>
    <row r="886" spans="2:6" ht="15.5" hidden="1">
      <c r="B886" s="142"/>
      <c r="C886" s="100"/>
      <c r="D886" s="141"/>
      <c r="E886" s="141"/>
      <c r="F886" s="141"/>
    </row>
    <row r="887" spans="2:6" ht="15.5" hidden="1">
      <c r="B887" s="142"/>
      <c r="C887" s="100"/>
      <c r="D887" s="141"/>
      <c r="E887" s="130"/>
      <c r="F887" s="141"/>
    </row>
    <row r="888" spans="2:6" ht="15.5" hidden="1">
      <c r="B888" s="142"/>
      <c r="C888" s="100"/>
      <c r="D888" s="141"/>
      <c r="E888" s="141"/>
      <c r="F888" s="141"/>
    </row>
    <row r="889" spans="2:6" ht="15.5" hidden="1">
      <c r="B889" s="142"/>
      <c r="C889" s="100"/>
      <c r="D889" s="141"/>
      <c r="E889" s="130"/>
      <c r="F889" s="141"/>
    </row>
    <row r="890" spans="2:6" ht="15.5" hidden="1">
      <c r="B890" s="142"/>
      <c r="C890" s="100"/>
      <c r="D890" s="141"/>
      <c r="E890" s="141"/>
      <c r="F890" s="141"/>
    </row>
    <row r="891" spans="2:6" ht="15.5" hidden="1">
      <c r="B891" s="142"/>
      <c r="C891" s="100"/>
      <c r="D891" s="141"/>
      <c r="E891" s="130"/>
      <c r="F891" s="141"/>
    </row>
    <row r="892" spans="2:6" ht="15.5" hidden="1">
      <c r="B892" s="142"/>
      <c r="C892" s="100"/>
      <c r="D892" s="141"/>
      <c r="E892" s="141"/>
      <c r="F892" s="141"/>
    </row>
    <row r="893" spans="2:6" ht="15.5" hidden="1">
      <c r="B893" s="142"/>
      <c r="C893" s="100"/>
      <c r="D893" s="141"/>
      <c r="E893" s="130"/>
      <c r="F893" s="141"/>
    </row>
    <row r="894" spans="2:6" ht="15.5" hidden="1">
      <c r="B894" s="142"/>
      <c r="C894" s="100"/>
      <c r="D894" s="141"/>
      <c r="E894" s="141"/>
      <c r="F894" s="141"/>
    </row>
    <row r="895" spans="2:6" ht="15.5" hidden="1">
      <c r="B895" s="142"/>
      <c r="C895" s="100"/>
      <c r="D895" s="141"/>
      <c r="E895" s="130"/>
      <c r="F895" s="141"/>
    </row>
    <row r="896" spans="2:6" ht="15.5" hidden="1">
      <c r="B896" s="142"/>
      <c r="C896" s="100"/>
      <c r="D896" s="141"/>
      <c r="E896" s="141"/>
      <c r="F896" s="141"/>
    </row>
    <row r="897" spans="2:10" ht="15.5" hidden="1">
      <c r="B897" s="142"/>
      <c r="C897" s="100"/>
      <c r="D897" s="141"/>
      <c r="E897" s="130"/>
      <c r="F897" s="141"/>
    </row>
    <row r="898" spans="2:10" ht="15.5" hidden="1">
      <c r="B898" s="142"/>
      <c r="C898" s="100"/>
      <c r="D898" s="141"/>
      <c r="E898" s="141"/>
      <c r="F898" s="141"/>
    </row>
    <row r="899" spans="2:10" ht="15.5" hidden="1">
      <c r="B899" s="142"/>
      <c r="C899" s="100"/>
      <c r="D899" s="141"/>
      <c r="E899" s="130"/>
      <c r="F899" s="141"/>
    </row>
    <row r="900" spans="2:10" ht="15.5" hidden="1">
      <c r="B900" s="142"/>
      <c r="C900" s="100"/>
      <c r="D900" s="141"/>
      <c r="E900" s="141"/>
      <c r="F900" s="141"/>
    </row>
    <row r="901" spans="2:10" ht="15.5" hidden="1">
      <c r="B901" s="142"/>
      <c r="C901" s="100"/>
      <c r="D901" s="141"/>
      <c r="E901" s="130"/>
      <c r="F901" s="141"/>
    </row>
    <row r="902" spans="2:10" ht="15.5" hidden="1">
      <c r="B902" s="142"/>
      <c r="C902" s="100"/>
      <c r="D902" s="141"/>
      <c r="E902" s="141"/>
      <c r="F902" s="141"/>
    </row>
    <row r="903" spans="2:10" ht="15.5" hidden="1">
      <c r="B903" s="142"/>
      <c r="C903" s="100"/>
      <c r="D903" s="141"/>
      <c r="E903" s="130"/>
      <c r="F903" s="141"/>
    </row>
    <row r="904" spans="2:10" ht="15.5" hidden="1">
      <c r="B904" s="142"/>
      <c r="C904" s="100"/>
      <c r="D904" s="141"/>
      <c r="E904" s="141"/>
      <c r="F904" s="141"/>
    </row>
    <row r="905" spans="2:10" ht="15.5" hidden="1">
      <c r="B905" s="142"/>
      <c r="C905" s="100"/>
      <c r="D905" s="141"/>
      <c r="E905" s="130"/>
      <c r="F905" s="141"/>
    </row>
    <row r="906" spans="2:10" ht="15.5" hidden="1">
      <c r="B906" s="142"/>
      <c r="C906" s="100"/>
      <c r="D906" s="141"/>
      <c r="E906" s="141"/>
      <c r="F906" s="141"/>
    </row>
    <row r="907" spans="2:10" ht="15.5" hidden="1">
      <c r="B907" s="142"/>
      <c r="C907" s="123"/>
      <c r="D907" s="141"/>
      <c r="E907" s="130"/>
      <c r="F907" s="141"/>
    </row>
    <row r="908" spans="2:10" ht="15.5" hidden="1">
      <c r="B908" s="144"/>
      <c r="C908" s="123"/>
      <c r="D908" s="141"/>
      <c r="E908" s="141"/>
      <c r="F908" s="141"/>
    </row>
    <row r="909" spans="2:10" ht="15.5" hidden="1">
      <c r="B909" s="142"/>
      <c r="C909" s="123"/>
      <c r="D909" s="141"/>
      <c r="E909" s="130"/>
      <c r="F909" s="141"/>
    </row>
    <row r="910" spans="2:10" ht="15.5" hidden="1">
      <c r="B910" s="144"/>
      <c r="C910" s="123"/>
      <c r="D910" s="141"/>
      <c r="E910" s="141"/>
      <c r="F910" s="141"/>
    </row>
    <row r="911" spans="2:10" ht="15.5" hidden="1">
      <c r="B911" s="142"/>
      <c r="C911" s="123"/>
      <c r="D911" s="141"/>
      <c r="E911" s="130"/>
      <c r="F911" s="141"/>
    </row>
    <row r="912" spans="2:10" ht="15.5" hidden="1">
      <c r="B912" s="144"/>
      <c r="C912" s="123"/>
      <c r="D912" s="141"/>
      <c r="E912" s="141"/>
      <c r="F912" s="141"/>
      <c r="H912" s="141"/>
      <c r="I912" s="141"/>
      <c r="J912" s="141"/>
    </row>
    <row r="913" spans="2:10" ht="15.5" hidden="1">
      <c r="B913" s="142"/>
      <c r="C913" s="123"/>
      <c r="D913" s="141"/>
      <c r="E913" s="130"/>
      <c r="F913" s="141"/>
      <c r="H913" s="141"/>
      <c r="I913" s="130"/>
      <c r="J913" s="141"/>
    </row>
    <row r="914" spans="2:10" ht="15.5" hidden="1">
      <c r="B914" s="142"/>
      <c r="C914" s="123"/>
      <c r="D914" s="141"/>
      <c r="E914" s="141"/>
      <c r="F914" s="141"/>
    </row>
    <row r="915" spans="2:10" ht="15.5" hidden="1">
      <c r="B915" s="142"/>
      <c r="C915" s="123"/>
      <c r="D915" s="141"/>
      <c r="E915" s="130"/>
      <c r="F915" s="141"/>
    </row>
    <row r="916" spans="2:10" ht="15.5" hidden="1">
      <c r="B916" s="142"/>
      <c r="C916" s="123"/>
      <c r="D916" s="141"/>
      <c r="E916" s="141"/>
      <c r="F916" s="141"/>
    </row>
    <row r="917" spans="2:10" ht="15.5" hidden="1">
      <c r="B917" s="142"/>
      <c r="C917" s="123"/>
      <c r="D917" s="141"/>
      <c r="E917" s="130"/>
      <c r="F917" s="141"/>
    </row>
    <row r="918" spans="2:10" ht="15.5" hidden="1">
      <c r="B918" s="142"/>
      <c r="C918" s="123"/>
      <c r="D918" s="141"/>
      <c r="E918" s="141"/>
      <c r="F918" s="141"/>
    </row>
    <row r="919" spans="2:10" ht="15.5" hidden="1">
      <c r="B919" s="142"/>
      <c r="C919" s="123"/>
      <c r="D919" s="141"/>
      <c r="E919" s="130"/>
      <c r="F919" s="141"/>
    </row>
    <row r="920" spans="2:10" ht="15.5" hidden="1">
      <c r="B920" s="142"/>
      <c r="C920" s="123"/>
      <c r="D920" s="141"/>
      <c r="E920" s="141"/>
      <c r="F920" s="141"/>
    </row>
    <row r="921" spans="2:10" ht="15.5" hidden="1">
      <c r="B921" s="142"/>
      <c r="C921" s="123"/>
      <c r="D921" s="141"/>
      <c r="E921" s="130"/>
      <c r="F921" s="141"/>
    </row>
    <row r="922" spans="2:10" ht="15.5" hidden="1">
      <c r="B922" s="142"/>
      <c r="C922" s="123"/>
      <c r="D922" s="141"/>
      <c r="E922" s="141"/>
      <c r="F922" s="141"/>
    </row>
    <row r="923" spans="2:10" ht="15.5" hidden="1">
      <c r="B923" s="142"/>
      <c r="C923" s="123"/>
      <c r="D923" s="141"/>
      <c r="E923" s="130"/>
      <c r="F923" s="141"/>
    </row>
    <row r="924" spans="2:10" ht="15.5" hidden="1">
      <c r="B924" s="142"/>
      <c r="C924" s="123"/>
      <c r="D924" s="141"/>
      <c r="E924" s="141"/>
      <c r="F924" s="141"/>
    </row>
    <row r="925" spans="2:10" ht="15.5" hidden="1">
      <c r="B925" s="142"/>
      <c r="C925" s="123"/>
      <c r="D925" s="141"/>
      <c r="E925" s="130"/>
      <c r="F925" s="141"/>
    </row>
    <row r="926" spans="2:10" ht="15.5" hidden="1">
      <c r="B926" s="142"/>
      <c r="C926" s="123"/>
      <c r="D926" s="141"/>
      <c r="E926" s="141"/>
      <c r="F926" s="141"/>
    </row>
    <row r="927" spans="2:10" ht="15.5" hidden="1">
      <c r="B927" s="142"/>
      <c r="C927" s="123"/>
      <c r="D927" s="141"/>
      <c r="E927" s="130"/>
      <c r="F927" s="141"/>
    </row>
    <row r="928" spans="2:10" ht="15.5" hidden="1">
      <c r="B928" s="142"/>
      <c r="C928" s="123"/>
      <c r="D928" s="141"/>
      <c r="E928" s="141"/>
      <c r="F928" s="141"/>
    </row>
    <row r="929" spans="2:6" ht="15.5" hidden="1">
      <c r="B929" s="142"/>
      <c r="C929" s="123"/>
      <c r="D929" s="141"/>
      <c r="E929" s="130"/>
      <c r="F929" s="141"/>
    </row>
    <row r="930" spans="2:6" ht="15.5">
      <c r="B930" s="146"/>
      <c r="C930" s="149" t="s">
        <v>263</v>
      </c>
      <c r="D930" s="139">
        <f>SUM(D826:D907)</f>
        <v>183708</v>
      </c>
      <c r="E930" s="139">
        <f>E827+E829+E831+E833+E835+E837+E839+E841+E843+E845+E847+E849+E851+E853+E855+E857+E859+E861+E863</f>
        <v>18370.8</v>
      </c>
      <c r="F930" s="139">
        <f>SUM(F826:F907)</f>
        <v>165337.20000000001</v>
      </c>
    </row>
    <row r="931" spans="2:6" ht="15.5">
      <c r="B931" s="122"/>
      <c r="C931" s="123"/>
      <c r="D931" s="137"/>
      <c r="E931" s="137"/>
      <c r="F931" s="1"/>
    </row>
    <row r="932" spans="2:6" ht="15.5">
      <c r="B932" s="122"/>
      <c r="C932" s="123"/>
      <c r="D932" s="137"/>
      <c r="E932" s="137"/>
      <c r="F932" s="1"/>
    </row>
    <row r="933" spans="2:6" ht="15.5">
      <c r="B933" s="122"/>
      <c r="C933" s="123"/>
      <c r="D933" s="137"/>
      <c r="E933" s="137"/>
      <c r="F933" s="1"/>
    </row>
    <row r="934" spans="2:6" ht="15.5">
      <c r="B934" s="122"/>
      <c r="C934" s="123"/>
      <c r="D934" s="137"/>
      <c r="E934" s="137"/>
      <c r="F934" s="1" t="s">
        <v>381</v>
      </c>
    </row>
    <row r="935" spans="2:6" ht="15.5">
      <c r="B935" s="150"/>
      <c r="C935" s="100"/>
      <c r="D935" s="141"/>
      <c r="E935" s="141"/>
      <c r="F935" s="141"/>
    </row>
    <row r="936" spans="2:6" ht="15.5">
      <c r="B936" s="142"/>
      <c r="C936" s="100"/>
      <c r="D936" s="141"/>
      <c r="E936" s="141"/>
      <c r="F936" s="141"/>
    </row>
    <row r="937" spans="2:6" ht="15.5">
      <c r="B937" s="144"/>
      <c r="C937" s="100"/>
      <c r="D937" s="141"/>
      <c r="E937" s="141"/>
      <c r="F937" s="1"/>
    </row>
    <row r="938" spans="2:6" ht="15.5">
      <c r="B938" s="144"/>
      <c r="C938" s="100"/>
      <c r="D938" s="141"/>
      <c r="E938" s="141"/>
      <c r="F938" s="141"/>
    </row>
    <row r="939" spans="2:6" ht="15.5">
      <c r="B939" s="142"/>
      <c r="C939" s="100"/>
      <c r="D939" s="141"/>
      <c r="E939" s="141"/>
      <c r="F939" s="141"/>
    </row>
    <row r="940" spans="2:6" ht="15.5">
      <c r="B940" s="144"/>
      <c r="C940" s="100"/>
      <c r="D940" s="141"/>
      <c r="E940" s="141"/>
      <c r="F940" s="1"/>
    </row>
    <row r="941" spans="2:6" ht="15.5">
      <c r="B941" s="144"/>
      <c r="C941" s="100"/>
      <c r="D941" s="141"/>
      <c r="E941" s="141"/>
      <c r="F941" s="141"/>
    </row>
    <row r="942" spans="2:6" ht="15.5">
      <c r="B942" s="142"/>
      <c r="C942" s="100"/>
      <c r="D942" s="141"/>
      <c r="E942" s="141"/>
      <c r="F942" s="141"/>
    </row>
    <row r="943" spans="2:6" ht="15.5">
      <c r="B943" s="144"/>
      <c r="C943" s="100"/>
      <c r="D943" s="141"/>
      <c r="E943" s="141"/>
      <c r="F943" s="1"/>
    </row>
    <row r="944" spans="2:6" ht="15.5">
      <c r="B944" s="144"/>
      <c r="C944" s="100"/>
      <c r="D944" s="141"/>
      <c r="E944" s="141"/>
      <c r="F944" s="141"/>
    </row>
    <row r="945" spans="2:6" ht="15.5">
      <c r="B945" s="142"/>
      <c r="C945" s="100"/>
      <c r="D945" s="141"/>
      <c r="E945" s="141"/>
      <c r="F945" s="141"/>
    </row>
    <row r="946" spans="2:6" ht="15.5">
      <c r="B946" s="144"/>
      <c r="C946" s="100"/>
      <c r="D946" s="141"/>
      <c r="E946" s="141"/>
      <c r="F946" s="1"/>
    </row>
    <row r="947" spans="2:6" ht="15.5">
      <c r="B947" s="144"/>
      <c r="C947" s="100"/>
      <c r="D947" s="141"/>
      <c r="E947" s="141"/>
      <c r="F947" s="1"/>
    </row>
    <row r="948" spans="2:6" ht="15.5">
      <c r="B948" s="144"/>
      <c r="C948" s="100"/>
      <c r="D948" s="141"/>
      <c r="E948" s="141"/>
      <c r="F948" s="1"/>
    </row>
    <row r="949" spans="2:6" ht="15.5">
      <c r="B949" s="144"/>
      <c r="C949" s="100"/>
      <c r="D949" s="141"/>
      <c r="E949" s="141"/>
      <c r="F949" s="1"/>
    </row>
    <row r="950" spans="2:6" ht="15.5">
      <c r="B950" s="144"/>
      <c r="C950" s="100"/>
      <c r="D950" s="141"/>
      <c r="E950" s="141"/>
      <c r="F950" s="1"/>
    </row>
    <row r="951" spans="2:6" ht="15.5">
      <c r="B951" s="144"/>
      <c r="C951" s="100"/>
      <c r="D951" s="141"/>
      <c r="E951" s="141"/>
      <c r="F951" s="1"/>
    </row>
    <row r="952" spans="2:6" ht="15.5">
      <c r="B952" s="144"/>
      <c r="C952" s="100"/>
      <c r="D952" s="141"/>
      <c r="E952" s="141"/>
      <c r="F952" s="1"/>
    </row>
    <row r="953" spans="2:6" ht="15.5">
      <c r="B953" s="144"/>
      <c r="C953" s="100"/>
      <c r="D953" s="141"/>
      <c r="E953" s="141"/>
      <c r="F953" s="1"/>
    </row>
    <row r="954" spans="2:6" ht="15.5">
      <c r="B954" s="144"/>
      <c r="C954" s="100"/>
      <c r="D954" s="141"/>
      <c r="E954" s="141"/>
      <c r="F954" s="1"/>
    </row>
    <row r="955" spans="2:6" ht="15.5">
      <c r="B955" s="144"/>
      <c r="C955" s="100"/>
      <c r="D955" s="141"/>
      <c r="E955" s="141"/>
      <c r="F955" s="1"/>
    </row>
    <row r="956" spans="2:6" ht="15.5">
      <c r="B956" s="144"/>
      <c r="C956" s="100"/>
      <c r="D956" s="141"/>
      <c r="E956" s="141"/>
      <c r="F956" s="1"/>
    </row>
    <row r="957" spans="2:6" ht="15.5">
      <c r="B957" s="144"/>
      <c r="C957" s="100"/>
      <c r="D957" s="141"/>
      <c r="E957" s="141"/>
      <c r="F957" s="1"/>
    </row>
    <row r="958" spans="2:6" ht="12.75" customHeight="1">
      <c r="B958" s="144"/>
      <c r="C958" s="100"/>
      <c r="D958" s="141"/>
      <c r="E958" s="141"/>
      <c r="F958" s="141"/>
    </row>
    <row r="959" spans="2:6" ht="15.5">
      <c r="B959" s="142"/>
      <c r="C959" s="100"/>
      <c r="D959" s="141"/>
      <c r="E959" s="141"/>
      <c r="F959" s="141"/>
    </row>
    <row r="960" spans="2:6" ht="15.5">
      <c r="B960" s="144"/>
      <c r="C960" s="100"/>
      <c r="D960" s="141"/>
      <c r="E960" s="141"/>
      <c r="F960" s="1"/>
    </row>
    <row r="961" spans="2:6" ht="15.5">
      <c r="B961" s="144"/>
      <c r="C961" s="100"/>
      <c r="D961" s="141"/>
      <c r="E961" s="141"/>
      <c r="F961" s="141"/>
    </row>
    <row r="962" spans="2:6" ht="15.5">
      <c r="B962" s="142"/>
      <c r="C962" s="100"/>
      <c r="D962" s="141"/>
      <c r="E962" s="145"/>
      <c r="F962" s="141"/>
    </row>
    <row r="963" spans="2:6" ht="15.5">
      <c r="B963" s="144"/>
      <c r="C963" s="100"/>
      <c r="D963" s="141"/>
      <c r="E963" s="141"/>
      <c r="F963" s="1"/>
    </row>
    <row r="964" spans="2:6" ht="15.5">
      <c r="B964" s="144"/>
      <c r="C964" s="100"/>
      <c r="D964" s="141"/>
      <c r="E964" s="141"/>
      <c r="F964" s="141"/>
    </row>
    <row r="965" spans="2:6" ht="15.5">
      <c r="B965" s="142"/>
      <c r="C965" s="100"/>
      <c r="D965" s="141"/>
      <c r="E965" s="145"/>
      <c r="F965" s="141"/>
    </row>
    <row r="966" spans="2:6" ht="15.5">
      <c r="B966" s="144"/>
      <c r="C966" s="100"/>
      <c r="D966" s="141"/>
      <c r="E966" s="141"/>
      <c r="F966" s="1"/>
    </row>
    <row r="967" spans="2:6" ht="15.5">
      <c r="B967" s="144"/>
      <c r="C967" s="100"/>
      <c r="D967" s="141"/>
      <c r="E967" s="141"/>
      <c r="F967" s="141"/>
    </row>
    <row r="968" spans="2:6" ht="15.5">
      <c r="B968" s="142"/>
      <c r="C968" s="100"/>
      <c r="D968" s="141"/>
      <c r="E968" s="145"/>
      <c r="F968" s="141"/>
    </row>
    <row r="969" spans="2:6" ht="15.5">
      <c r="B969" s="144"/>
      <c r="C969" s="100"/>
      <c r="D969" s="141"/>
      <c r="E969" s="141"/>
      <c r="F969" s="1"/>
    </row>
    <row r="970" spans="2:6" ht="15.5">
      <c r="B970" s="144"/>
      <c r="C970" s="100"/>
      <c r="D970" s="141"/>
      <c r="E970" s="141"/>
      <c r="F970" s="141"/>
    </row>
    <row r="971" spans="2:6" ht="15.5">
      <c r="B971" s="142"/>
      <c r="C971" s="100"/>
      <c r="D971" s="141"/>
      <c r="E971" s="145"/>
      <c r="F971" s="141"/>
    </row>
    <row r="972" spans="2:6" ht="15.5">
      <c r="B972" s="144"/>
      <c r="C972" s="100"/>
      <c r="D972" s="141"/>
      <c r="E972" s="141"/>
      <c r="F972" s="1"/>
    </row>
    <row r="973" spans="2:6" ht="15.5">
      <c r="B973" s="144"/>
      <c r="C973" s="100"/>
      <c r="D973" s="141"/>
      <c r="E973" s="141"/>
      <c r="F973" s="141"/>
    </row>
    <row r="974" spans="2:6" ht="15.5">
      <c r="B974" s="142"/>
      <c r="C974" s="100"/>
      <c r="D974" s="141"/>
      <c r="E974" s="145"/>
      <c r="F974" s="141"/>
    </row>
    <row r="975" spans="2:6" ht="15.5">
      <c r="B975" s="144"/>
      <c r="C975" s="100"/>
      <c r="D975" s="141"/>
      <c r="E975" s="141"/>
      <c r="F975" s="1"/>
    </row>
    <row r="976" spans="2:6" ht="15.5">
      <c r="B976" s="144"/>
      <c r="C976" s="100"/>
      <c r="D976" s="141"/>
      <c r="E976" s="141"/>
      <c r="F976" s="141"/>
    </row>
    <row r="977" spans="2:6" ht="15.5">
      <c r="B977" s="142"/>
      <c r="C977" s="100"/>
      <c r="D977" s="141"/>
      <c r="E977" s="145"/>
      <c r="F977" s="141"/>
    </row>
    <row r="978" spans="2:6" ht="15.5">
      <c r="B978" s="144"/>
      <c r="C978" s="100"/>
      <c r="D978" s="141"/>
      <c r="E978" s="141"/>
      <c r="F978" s="1"/>
    </row>
    <row r="979" spans="2:6" ht="15.5">
      <c r="B979" s="144"/>
      <c r="C979" s="100"/>
      <c r="D979" s="141"/>
      <c r="E979" s="141"/>
      <c r="F979" s="141"/>
    </row>
    <row r="980" spans="2:6" ht="15.5">
      <c r="B980" s="142"/>
      <c r="C980" s="100"/>
      <c r="D980" s="141"/>
      <c r="E980" s="145"/>
      <c r="F980" s="141"/>
    </row>
    <row r="981" spans="2:6" ht="15.5">
      <c r="B981" s="144"/>
      <c r="C981" s="100"/>
      <c r="D981" s="141"/>
      <c r="E981" s="141"/>
      <c r="F981" s="1"/>
    </row>
    <row r="982" spans="2:6" ht="15.5">
      <c r="B982" s="144"/>
      <c r="C982" s="100"/>
      <c r="D982" s="141"/>
      <c r="E982" s="141"/>
      <c r="F982" s="141"/>
    </row>
    <row r="983" spans="2:6" ht="15.5">
      <c r="B983" s="142"/>
      <c r="C983" s="100"/>
      <c r="D983" s="141"/>
      <c r="E983" s="145"/>
      <c r="F983" s="141"/>
    </row>
    <row r="984" spans="2:6" ht="15.5">
      <c r="B984" s="144"/>
      <c r="C984" s="123"/>
      <c r="D984" s="141"/>
      <c r="E984" s="141"/>
      <c r="F984" s="141"/>
    </row>
    <row r="985" spans="2:6" ht="15.5">
      <c r="B985" s="146"/>
      <c r="C985" s="136"/>
      <c r="D985" s="139"/>
      <c r="E985" s="139"/>
      <c r="F985" s="139"/>
    </row>
  </sheetData>
  <mergeCells count="3">
    <mergeCell ref="A17:F17"/>
    <mergeCell ref="A206:F206"/>
    <mergeCell ref="B207:F207"/>
  </mergeCells>
  <pageMargins left="0.7" right="0.7" top="0.75" bottom="0.75" header="0.3" footer="0.3"/>
  <pageSetup scale="9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68"/>
  <sheetViews>
    <sheetView topLeftCell="A160" workbookViewId="0">
      <selection activeCell="G173" sqref="G173"/>
    </sheetView>
  </sheetViews>
  <sheetFormatPr defaultColWidth="9" defaultRowHeight="12.5"/>
  <cols>
    <col min="1" max="1" width="15.81640625" customWidth="1"/>
    <col min="2" max="2" width="20.26953125" customWidth="1"/>
    <col min="3" max="3" width="17.453125" customWidth="1"/>
    <col min="4" max="8" width="15.1796875" customWidth="1"/>
  </cols>
  <sheetData>
    <row r="1" spans="1:8" ht="15.5">
      <c r="A1" s="17"/>
      <c r="B1" s="18"/>
      <c r="C1" s="18"/>
      <c r="D1" s="18"/>
      <c r="E1" s="18"/>
      <c r="F1" s="18"/>
      <c r="G1" s="18"/>
      <c r="H1" s="18"/>
    </row>
    <row r="2" spans="1:8" ht="15.5">
      <c r="A2" s="17"/>
      <c r="B2" s="18"/>
      <c r="C2" s="18"/>
      <c r="D2" s="18"/>
      <c r="E2" s="18"/>
      <c r="F2" s="18"/>
      <c r="G2" s="18"/>
      <c r="H2" s="18"/>
    </row>
    <row r="3" spans="1:8" ht="15.5">
      <c r="A3" s="17"/>
      <c r="B3" s="18"/>
      <c r="C3" s="18"/>
      <c r="D3" s="18"/>
      <c r="E3" s="18"/>
      <c r="F3" s="18"/>
      <c r="G3" s="18"/>
      <c r="H3" s="18"/>
    </row>
    <row r="4" spans="1:8" ht="15.5">
      <c r="A4" s="17"/>
      <c r="B4" s="18"/>
      <c r="C4" s="18"/>
      <c r="D4" s="18"/>
      <c r="E4" s="18"/>
      <c r="F4" s="18"/>
      <c r="G4" s="18"/>
      <c r="H4" s="18"/>
    </row>
    <row r="5" spans="1:8" ht="15.5">
      <c r="A5" s="17"/>
      <c r="B5" s="18"/>
      <c r="C5" s="18"/>
      <c r="D5" s="18"/>
      <c r="E5" s="18"/>
      <c r="F5" s="18"/>
      <c r="G5" s="18"/>
      <c r="H5" s="18"/>
    </row>
    <row r="6" spans="1:8" ht="15.5">
      <c r="A6" s="17"/>
      <c r="B6" s="18"/>
      <c r="C6" s="18"/>
      <c r="D6" s="18"/>
      <c r="E6" s="18"/>
      <c r="F6" s="18"/>
      <c r="G6" s="18"/>
      <c r="H6" s="18"/>
    </row>
    <row r="7" spans="1:8" ht="15.5">
      <c r="A7" s="19"/>
      <c r="B7" s="19"/>
      <c r="C7" s="19"/>
      <c r="D7" s="19"/>
      <c r="E7" s="19"/>
      <c r="F7" s="19"/>
      <c r="G7" s="19"/>
      <c r="H7" s="19"/>
    </row>
    <row r="8" spans="1:8" ht="15.5">
      <c r="A8" s="20" t="s">
        <v>565</v>
      </c>
      <c r="B8" s="19"/>
      <c r="C8" s="20"/>
      <c r="D8" s="20"/>
      <c r="E8" s="20"/>
      <c r="F8" s="20"/>
      <c r="G8" s="20"/>
      <c r="H8" s="20"/>
    </row>
    <row r="9" spans="1:8" ht="15.5">
      <c r="A9" s="19"/>
      <c r="B9" s="19" t="s">
        <v>566</v>
      </c>
      <c r="C9" s="19"/>
      <c r="D9" s="19"/>
      <c r="E9" s="19"/>
      <c r="F9" s="20"/>
      <c r="G9" s="20"/>
      <c r="H9" s="20"/>
    </row>
    <row r="10" spans="1:8" ht="15.5">
      <c r="A10" s="19"/>
      <c r="B10" s="19"/>
      <c r="C10" s="19"/>
      <c r="D10" s="19"/>
      <c r="E10" s="19"/>
      <c r="F10" s="20"/>
      <c r="G10" s="20"/>
      <c r="H10" s="20"/>
    </row>
    <row r="11" spans="1:8" ht="15.5">
      <c r="A11" s="21" t="s">
        <v>567</v>
      </c>
      <c r="B11" s="20"/>
      <c r="C11" s="19"/>
      <c r="D11" s="20"/>
      <c r="E11" s="20"/>
      <c r="F11" s="20"/>
      <c r="G11" s="20"/>
      <c r="H11" s="20"/>
    </row>
    <row r="12" spans="1:8" ht="15.5">
      <c r="A12" s="21"/>
      <c r="B12" s="20"/>
      <c r="C12" s="19"/>
      <c r="D12" s="20"/>
      <c r="E12" s="20"/>
      <c r="F12" s="20"/>
      <c r="G12" s="20"/>
      <c r="H12" s="20"/>
    </row>
    <row r="13" spans="1:8" ht="15.5">
      <c r="A13" s="22" t="s">
        <v>568</v>
      </c>
      <c r="B13" s="23"/>
      <c r="C13" s="22" t="s">
        <v>569</v>
      </c>
      <c r="D13" s="23"/>
      <c r="E13" s="24" t="s">
        <v>570</v>
      </c>
      <c r="F13" s="23"/>
      <c r="G13" s="24" t="s">
        <v>571</v>
      </c>
      <c r="H13" s="23"/>
    </row>
    <row r="14" spans="1:8" ht="15.5">
      <c r="A14" s="1020" t="str">
        <f>'PROJECT REPORT '!H6</f>
        <v xml:space="preserve">M/S.SHAS DESIGN AND PRINTING </v>
      </c>
      <c r="B14" s="1021"/>
      <c r="C14" s="25"/>
      <c r="D14" s="26"/>
      <c r="E14" s="1022" t="str">
        <f>'PROJECT REPORT '!H53</f>
        <v>NILESHWAR</v>
      </c>
      <c r="F14" s="1023"/>
      <c r="G14" s="1022" t="s">
        <v>572</v>
      </c>
      <c r="H14" s="1023"/>
    </row>
    <row r="15" spans="1:8" ht="15.5">
      <c r="A15" s="19"/>
      <c r="B15" s="20"/>
      <c r="C15" s="19"/>
      <c r="D15" s="20"/>
      <c r="E15" s="20"/>
      <c r="F15" s="20"/>
      <c r="G15" s="20"/>
      <c r="H15" s="20"/>
    </row>
    <row r="16" spans="1:8" ht="15.5">
      <c r="A16" s="21" t="s">
        <v>573</v>
      </c>
      <c r="B16" s="19"/>
      <c r="C16" s="19"/>
      <c r="D16" s="19"/>
      <c r="E16" s="19"/>
      <c r="F16" s="19"/>
      <c r="G16" s="19"/>
      <c r="H16" s="19"/>
    </row>
    <row r="17" spans="1:8" ht="15.75" customHeight="1">
      <c r="A17" s="21"/>
      <c r="B17" s="19"/>
      <c r="C17" s="19"/>
      <c r="D17" s="19"/>
      <c r="E17" s="19"/>
      <c r="F17" s="19"/>
      <c r="G17" s="19"/>
      <c r="H17" s="19"/>
    </row>
    <row r="18" spans="1:8" ht="15.75" customHeight="1">
      <c r="A18" s="1069" t="s">
        <v>574</v>
      </c>
      <c r="B18" s="1070"/>
      <c r="C18" s="1073" t="str">
        <f>A14</f>
        <v xml:space="preserve">M/S.SHAS DESIGN AND PRINTING </v>
      </c>
      <c r="D18" s="1074"/>
      <c r="E18" s="1074"/>
      <c r="F18" s="1074"/>
      <c r="G18" s="1074"/>
      <c r="H18" s="1075"/>
    </row>
    <row r="19" spans="1:8" ht="15" customHeight="1">
      <c r="A19" s="1071"/>
      <c r="B19" s="1072"/>
      <c r="C19" s="1076"/>
      <c r="D19" s="1077"/>
      <c r="E19" s="1077"/>
      <c r="F19" s="1077"/>
      <c r="G19" s="1077"/>
      <c r="H19" s="1078"/>
    </row>
    <row r="20" spans="1:8" ht="15.5">
      <c r="A20" s="27"/>
      <c r="B20" s="28" t="s">
        <v>575</v>
      </c>
      <c r="C20" s="29" t="s">
        <v>576</v>
      </c>
      <c r="D20" s="30" t="s">
        <v>577</v>
      </c>
      <c r="E20" s="30" t="s">
        <v>578</v>
      </c>
      <c r="F20" s="30" t="s">
        <v>579</v>
      </c>
      <c r="G20" s="31" t="s">
        <v>580</v>
      </c>
      <c r="H20" s="32"/>
    </row>
    <row r="21" spans="1:8" ht="15.5">
      <c r="A21" s="33" t="s">
        <v>581</v>
      </c>
      <c r="B21" s="34"/>
      <c r="C21" s="35"/>
      <c r="D21" s="35"/>
      <c r="E21" s="35"/>
      <c r="F21" s="35"/>
      <c r="G21" s="35"/>
      <c r="H21" s="28"/>
    </row>
    <row r="22" spans="1:8" ht="15.5">
      <c r="A22" s="36" t="s">
        <v>582</v>
      </c>
      <c r="B22" s="37"/>
      <c r="C22" s="19"/>
      <c r="D22" s="19"/>
      <c r="E22" s="19"/>
      <c r="F22" s="19"/>
      <c r="G22" s="19"/>
      <c r="H22" s="38"/>
    </row>
    <row r="23" spans="1:8" ht="18" customHeight="1">
      <c r="A23" s="36" t="s">
        <v>583</v>
      </c>
      <c r="B23" s="37"/>
      <c r="C23" s="39" t="s">
        <v>584</v>
      </c>
      <c r="D23" s="30" t="s">
        <v>585</v>
      </c>
      <c r="E23" s="40" t="s">
        <v>586</v>
      </c>
      <c r="F23" s="41"/>
      <c r="G23" s="25">
        <f>'PROJECT REPORT '!H15</f>
        <v>671314</v>
      </c>
      <c r="H23" s="41"/>
    </row>
    <row r="24" spans="1:8" ht="18" customHeight="1">
      <c r="A24" s="42"/>
      <c r="B24" s="43"/>
      <c r="C24" s="44" t="s">
        <v>587</v>
      </c>
      <c r="D24" s="41"/>
      <c r="E24" s="45" t="s">
        <v>588</v>
      </c>
      <c r="F24" s="46" t="s">
        <v>589</v>
      </c>
      <c r="G24" s="40" t="s">
        <v>590</v>
      </c>
      <c r="H24" s="47" t="s">
        <v>591</v>
      </c>
    </row>
    <row r="25" spans="1:8" ht="15.5">
      <c r="A25" s="48"/>
      <c r="B25" s="49"/>
      <c r="C25" s="25"/>
      <c r="D25" s="44"/>
      <c r="E25" s="50"/>
      <c r="F25" s="44"/>
      <c r="G25" s="44"/>
      <c r="H25" s="41"/>
    </row>
    <row r="26" spans="1:8" ht="15.5">
      <c r="A26" s="51" t="s">
        <v>592</v>
      </c>
      <c r="B26" s="28"/>
      <c r="C26" s="25" t="str">
        <f>'PROJECT REPORT '!H8</f>
        <v>W-III/1022</v>
      </c>
      <c r="D26" s="44" t="str">
        <f>'PROJECT REPORT '!H7</f>
        <v>NEAR POST OFFICE, NILESHWAR</v>
      </c>
      <c r="E26" s="44"/>
      <c r="F26" s="44"/>
      <c r="G26" s="44"/>
      <c r="H26" s="41"/>
    </row>
    <row r="27" spans="1:8" ht="15.5">
      <c r="A27" s="52" t="s">
        <v>593</v>
      </c>
      <c r="B27" s="38"/>
      <c r="C27" s="25" t="str">
        <f>'PROJECT REPORT '!H11</f>
        <v>NILESHWAR</v>
      </c>
      <c r="D27" s="44"/>
      <c r="E27" s="50"/>
      <c r="F27" s="44"/>
      <c r="G27" s="44"/>
      <c r="H27" s="41"/>
    </row>
    <row r="28" spans="1:8" ht="15.5">
      <c r="A28" s="53" t="s">
        <v>594</v>
      </c>
      <c r="B28" s="47"/>
      <c r="C28" s="27" t="str">
        <f>'PROJECT REPORT '!H14</f>
        <v>KASARAGOD</v>
      </c>
      <c r="D28" s="35"/>
      <c r="E28" s="54"/>
      <c r="F28" s="35"/>
      <c r="G28" s="44"/>
      <c r="H28" s="41"/>
    </row>
    <row r="29" spans="1:8" ht="15.5">
      <c r="A29" s="25" t="s">
        <v>130</v>
      </c>
      <c r="B29" s="41"/>
      <c r="C29" s="25" t="str">
        <f>'PROJECT REPORT '!H13</f>
        <v>HOSDURG</v>
      </c>
      <c r="D29" s="44"/>
      <c r="E29" s="50"/>
      <c r="F29" s="40" t="s">
        <v>115</v>
      </c>
      <c r="G29" s="25" t="str">
        <f>'PROJECT REPORT '!H14</f>
        <v>KASARAGOD</v>
      </c>
      <c r="H29" s="41"/>
    </row>
    <row r="30" spans="1:8" ht="15.5">
      <c r="A30" s="55" t="s">
        <v>595</v>
      </c>
      <c r="B30" s="38"/>
      <c r="C30" s="56"/>
      <c r="D30" s="57"/>
      <c r="E30" s="47"/>
      <c r="F30" s="53" t="s">
        <v>596</v>
      </c>
      <c r="G30" s="25">
        <f>'PROJECT REPORT '!H16</f>
        <v>9847599008</v>
      </c>
      <c r="H30" s="41"/>
    </row>
    <row r="31" spans="1:8" ht="15.5">
      <c r="A31" s="25" t="s">
        <v>597</v>
      </c>
      <c r="B31" s="41"/>
      <c r="C31" s="25"/>
      <c r="D31" s="44"/>
      <c r="E31" s="44"/>
      <c r="F31" s="44"/>
      <c r="G31" s="44"/>
      <c r="H31" s="41"/>
    </row>
    <row r="32" spans="1:8" ht="15.5">
      <c r="A32" s="27" t="s">
        <v>594</v>
      </c>
      <c r="B32" s="28"/>
      <c r="C32" s="58" t="s">
        <v>598</v>
      </c>
      <c r="D32" s="41"/>
      <c r="E32" s="59" t="str">
        <f>'PROJECT REPORT '!H28</f>
        <v>DIGITAL PRINTING</v>
      </c>
      <c r="F32" s="60"/>
      <c r="G32" s="61"/>
      <c r="H32" s="41"/>
    </row>
    <row r="33" spans="1:10" ht="15.5">
      <c r="A33" s="56" t="s">
        <v>599</v>
      </c>
      <c r="B33" s="47"/>
      <c r="C33" s="56" t="s">
        <v>600</v>
      </c>
      <c r="D33" s="47"/>
      <c r="E33" s="31"/>
      <c r="F33" s="60"/>
      <c r="G33" s="60"/>
      <c r="H33" s="61"/>
      <c r="J33" s="92"/>
    </row>
    <row r="34" spans="1:10" ht="15.5">
      <c r="A34" s="27" t="s">
        <v>601</v>
      </c>
      <c r="B34" s="35"/>
      <c r="C34" s="28"/>
      <c r="D34" s="19"/>
      <c r="E34" s="19"/>
      <c r="F34" s="19"/>
      <c r="G34" s="19"/>
      <c r="H34" s="19"/>
    </row>
    <row r="35" spans="1:10" ht="15.5">
      <c r="A35" s="25" t="s">
        <v>602</v>
      </c>
      <c r="B35" s="44"/>
      <c r="C35" s="41"/>
      <c r="D35" s="30" t="s">
        <v>588</v>
      </c>
      <c r="E35" s="29" t="s">
        <v>603</v>
      </c>
      <c r="F35" s="40"/>
      <c r="G35" s="30" t="s">
        <v>604</v>
      </c>
      <c r="H35" s="40"/>
    </row>
    <row r="36" spans="1:10" ht="15.5">
      <c r="A36" s="27" t="s">
        <v>605</v>
      </c>
      <c r="B36" s="35"/>
      <c r="C36" s="28"/>
      <c r="D36" s="62"/>
      <c r="E36" s="63"/>
      <c r="F36" s="35"/>
      <c r="G36" s="63"/>
      <c r="H36" s="28"/>
    </row>
    <row r="37" spans="1:10" ht="15.5">
      <c r="A37" s="56" t="s">
        <v>606</v>
      </c>
      <c r="B37" s="57"/>
      <c r="C37" s="47"/>
      <c r="D37" s="64"/>
      <c r="E37" s="45"/>
      <c r="F37" s="57"/>
      <c r="G37" s="45"/>
      <c r="H37" s="47"/>
    </row>
    <row r="38" spans="1:10" ht="15.5">
      <c r="A38" s="25" t="s">
        <v>607</v>
      </c>
      <c r="B38" s="44"/>
      <c r="C38" s="41"/>
      <c r="D38" s="25" t="s">
        <v>608</v>
      </c>
      <c r="E38" s="44"/>
      <c r="F38" s="44"/>
      <c r="G38" s="44"/>
      <c r="H38" s="41"/>
    </row>
    <row r="39" spans="1:10" ht="15.5">
      <c r="A39" s="19"/>
      <c r="B39" s="19"/>
      <c r="C39" s="19"/>
      <c r="D39" s="19"/>
      <c r="E39" s="19"/>
      <c r="F39" s="19"/>
      <c r="G39" s="19"/>
      <c r="H39" s="19"/>
    </row>
    <row r="40" spans="1:10" ht="15.5">
      <c r="A40" s="65" t="s">
        <v>609</v>
      </c>
      <c r="B40" s="28"/>
      <c r="C40" s="66" t="s">
        <v>610</v>
      </c>
      <c r="D40" s="51" t="s">
        <v>611</v>
      </c>
      <c r="E40" s="51" t="s">
        <v>612</v>
      </c>
      <c r="F40" s="51" t="s">
        <v>613</v>
      </c>
      <c r="G40" s="51" t="s">
        <v>614</v>
      </c>
      <c r="H40" s="51" t="s">
        <v>615</v>
      </c>
    </row>
    <row r="41" spans="1:10" ht="27.75" customHeight="1">
      <c r="A41" s="48" t="s">
        <v>616</v>
      </c>
      <c r="B41" s="41"/>
      <c r="C41" s="40" t="s">
        <v>617</v>
      </c>
      <c r="D41" s="44" t="s">
        <v>618</v>
      </c>
      <c r="E41" s="40" t="s">
        <v>619</v>
      </c>
      <c r="F41" s="44" t="s">
        <v>620</v>
      </c>
      <c r="G41" s="40" t="s">
        <v>621</v>
      </c>
      <c r="H41" s="40" t="s">
        <v>622</v>
      </c>
    </row>
    <row r="42" spans="1:10" ht="12.75" customHeight="1">
      <c r="A42" s="5"/>
      <c r="B42" s="19"/>
      <c r="C42" s="19"/>
      <c r="D42" s="19"/>
      <c r="E42" s="19"/>
      <c r="F42" s="19"/>
      <c r="G42" s="19"/>
      <c r="H42" s="19"/>
    </row>
    <row r="43" spans="1:10" ht="12.75" customHeight="1">
      <c r="A43" s="6" t="s">
        <v>623</v>
      </c>
      <c r="B43" s="19"/>
      <c r="C43" s="19"/>
      <c r="D43" s="19"/>
      <c r="E43" s="19"/>
      <c r="F43" s="19"/>
      <c r="G43" s="19"/>
      <c r="H43" s="19"/>
    </row>
    <row r="44" spans="1:10" ht="12.75" customHeight="1">
      <c r="A44" s="5"/>
      <c r="B44" s="19"/>
      <c r="C44" s="19"/>
      <c r="D44" s="19"/>
      <c r="E44" s="19"/>
      <c r="F44" s="19"/>
      <c r="G44" s="19"/>
      <c r="H44" s="19"/>
    </row>
    <row r="45" spans="1:10" ht="45" customHeight="1">
      <c r="A45" s="67" t="s">
        <v>624</v>
      </c>
      <c r="B45" s="68" t="s">
        <v>625</v>
      </c>
      <c r="C45" s="69" t="s">
        <v>626</v>
      </c>
      <c r="D45" s="68" t="s">
        <v>627</v>
      </c>
      <c r="E45" s="1024" t="s">
        <v>628</v>
      </c>
      <c r="F45" s="1025"/>
      <c r="G45" s="71" t="s">
        <v>629</v>
      </c>
      <c r="H45" s="72" t="s">
        <v>630</v>
      </c>
    </row>
    <row r="46" spans="1:10" ht="15" customHeight="1">
      <c r="A46" s="984" t="s">
        <v>631</v>
      </c>
      <c r="B46" s="62" t="str">
        <f>'PROJECT REPORT '!H17</f>
        <v>Mr.SHAFEEK N N</v>
      </c>
      <c r="C46" s="73" t="str">
        <f>'PROJECT REPORT '!H24</f>
        <v xml:space="preserve"> 10/05/1988</v>
      </c>
      <c r="D46" s="62" t="str">
        <f>'DATA INPUT '!C15</f>
        <v>MALE</v>
      </c>
      <c r="E46" s="1026" t="str">
        <f>'PROJECT REPORT '!H19</f>
        <v>BAITHUL SHAMNA HOUSE</v>
      </c>
      <c r="F46" s="1027"/>
      <c r="G46" s="74"/>
      <c r="H46" s="28"/>
    </row>
    <row r="47" spans="1:10" ht="15" customHeight="1">
      <c r="A47" s="75"/>
      <c r="B47" s="76"/>
      <c r="C47" s="77"/>
      <c r="D47" s="76"/>
      <c r="E47" s="1028" t="str">
        <f>'PROJECT REPORT '!H20</f>
        <v>KANHANGAD</v>
      </c>
      <c r="F47" s="1029"/>
      <c r="G47" s="78" t="str">
        <f>'PROJECT REPORT '!H30</f>
        <v>SSLC</v>
      </c>
      <c r="H47" s="79">
        <f>'PROJECT REPORT '!H31</f>
        <v>12</v>
      </c>
    </row>
    <row r="48" spans="1:10" ht="15" customHeight="1">
      <c r="A48" s="75"/>
      <c r="B48" s="76"/>
      <c r="C48" s="77"/>
      <c r="D48" s="76"/>
      <c r="E48" s="1028" t="str">
        <f>'PROJECT REPORT '!H21</f>
        <v>NILESHWAR</v>
      </c>
      <c r="F48" s="1029"/>
      <c r="G48" s="80"/>
      <c r="H48" s="38" t="s">
        <v>632</v>
      </c>
    </row>
    <row r="49" spans="1:13" ht="15.5">
      <c r="A49" s="81"/>
      <c r="B49" s="56"/>
      <c r="C49" s="45"/>
      <c r="D49" s="56"/>
      <c r="E49" s="1030">
        <f>'PROJECT REPORT '!H16</f>
        <v>9847599008</v>
      </c>
      <c r="F49" s="1031"/>
      <c r="G49" s="53"/>
      <c r="H49" s="47"/>
    </row>
    <row r="50" spans="1:13" ht="15.5">
      <c r="A50" s="985" t="s">
        <v>633</v>
      </c>
      <c r="B50" s="55"/>
      <c r="C50" s="7"/>
      <c r="D50" s="52"/>
      <c r="E50" s="82"/>
      <c r="F50" s="19"/>
      <c r="G50" s="52"/>
      <c r="H50" s="38"/>
    </row>
    <row r="51" spans="1:13" ht="15.5">
      <c r="A51" s="81"/>
      <c r="B51" s="56"/>
      <c r="C51" s="45"/>
      <c r="D51" s="53"/>
      <c r="E51" s="83"/>
      <c r="F51" s="57"/>
      <c r="G51" s="53"/>
      <c r="H51" s="47"/>
    </row>
    <row r="52" spans="1:13" ht="15.5">
      <c r="A52" s="19"/>
      <c r="B52" s="19"/>
      <c r="C52" s="19"/>
      <c r="D52" s="19"/>
      <c r="E52" s="19"/>
      <c r="F52" s="19"/>
      <c r="G52" s="19"/>
      <c r="H52" s="19"/>
    </row>
    <row r="53" spans="1:13" ht="50.25" customHeight="1">
      <c r="A53" s="67" t="s">
        <v>624</v>
      </c>
      <c r="B53" s="70" t="s">
        <v>634</v>
      </c>
      <c r="C53" s="84" t="s">
        <v>635</v>
      </c>
      <c r="D53" s="71" t="s">
        <v>636</v>
      </c>
      <c r="E53" s="1032" t="s">
        <v>637</v>
      </c>
      <c r="F53" s="1032"/>
      <c r="G53" s="1024" t="s">
        <v>638</v>
      </c>
      <c r="H53" s="1033"/>
      <c r="K53" s="93"/>
      <c r="M53" s="94"/>
    </row>
    <row r="54" spans="1:13" ht="25.5" customHeight="1">
      <c r="A54" s="984" t="s">
        <v>631</v>
      </c>
      <c r="B54" s="66" t="str">
        <f>'PROJECT REPORT '!H26</f>
        <v>3616 3601 1234</v>
      </c>
      <c r="C54" s="65" t="str">
        <f>'PROJECT REPORT '!B26</f>
        <v>ADHAAR CARD NO.</v>
      </c>
      <c r="D54" s="66" t="str">
        <f>'PROJECT REPORT '!B25</f>
        <v>PAN No:</v>
      </c>
      <c r="E54" s="1034">
        <f>'PROJECT REPORT '!H25</f>
        <v>0</v>
      </c>
      <c r="F54" s="1035"/>
      <c r="G54" s="1034" t="s">
        <v>639</v>
      </c>
      <c r="H54" s="1035"/>
    </row>
    <row r="55" spans="1:13" ht="15.5">
      <c r="A55" s="81"/>
      <c r="B55" s="53"/>
      <c r="C55" s="52"/>
      <c r="D55" s="52"/>
      <c r="E55" s="57"/>
      <c r="F55" s="57"/>
      <c r="G55" s="55"/>
      <c r="H55" s="38"/>
    </row>
    <row r="56" spans="1:13" ht="15.5">
      <c r="A56" s="985" t="s">
        <v>633</v>
      </c>
      <c r="B56" s="55"/>
      <c r="C56" s="66"/>
      <c r="D56" s="51"/>
      <c r="E56" s="82"/>
      <c r="F56" s="19"/>
      <c r="G56" s="27"/>
      <c r="H56" s="28"/>
    </row>
    <row r="57" spans="1:13" ht="15.5">
      <c r="A57" s="81"/>
      <c r="B57" s="56"/>
      <c r="C57" s="81"/>
      <c r="D57" s="53"/>
      <c r="E57" s="83"/>
      <c r="F57" s="57"/>
      <c r="G57" s="56"/>
      <c r="H57" s="47"/>
    </row>
    <row r="58" spans="1:13" ht="15.5">
      <c r="A58" s="19"/>
      <c r="B58" s="7"/>
      <c r="C58" s="4"/>
      <c r="D58" s="7"/>
      <c r="E58" s="7"/>
      <c r="F58" s="7"/>
      <c r="G58" s="7"/>
      <c r="H58" s="7"/>
    </row>
    <row r="59" spans="1:13" ht="15.5">
      <c r="A59" s="19"/>
      <c r="B59" s="77"/>
      <c r="C59" s="4"/>
      <c r="D59" s="7"/>
      <c r="E59" s="77"/>
      <c r="F59" s="7"/>
      <c r="G59" s="7"/>
      <c r="H59" s="7"/>
    </row>
    <row r="60" spans="1:13" ht="15.5">
      <c r="A60" s="19"/>
      <c r="B60" s="7"/>
      <c r="C60" s="4"/>
      <c r="D60" s="7"/>
      <c r="E60" s="7"/>
      <c r="F60" s="7"/>
      <c r="G60" s="7"/>
      <c r="H60" s="7"/>
    </row>
    <row r="61" spans="1:13" ht="15.5">
      <c r="A61" s="21" t="s">
        <v>640</v>
      </c>
      <c r="B61" s="7"/>
      <c r="C61" s="4"/>
      <c r="D61" s="7"/>
      <c r="E61" s="7"/>
      <c r="F61" s="7"/>
      <c r="G61" s="7"/>
      <c r="H61" s="7"/>
    </row>
    <row r="62" spans="1:13" ht="48" customHeight="1">
      <c r="A62" s="1036" t="s">
        <v>641</v>
      </c>
      <c r="B62" s="1037"/>
      <c r="C62" s="86" t="s">
        <v>642</v>
      </c>
      <c r="D62" s="87" t="s">
        <v>643</v>
      </c>
      <c r="E62" s="88" t="s">
        <v>644</v>
      </c>
      <c r="F62" s="1032" t="s">
        <v>645</v>
      </c>
      <c r="G62" s="1038"/>
      <c r="H62" s="1039"/>
    </row>
    <row r="63" spans="1:13" ht="25.5" customHeight="1">
      <c r="A63" s="1040" t="s">
        <v>639</v>
      </c>
      <c r="B63" s="1037"/>
      <c r="C63" s="89" t="s">
        <v>639</v>
      </c>
      <c r="D63" s="89" t="s">
        <v>639</v>
      </c>
      <c r="E63" s="89" t="s">
        <v>639</v>
      </c>
      <c r="F63" s="1040" t="s">
        <v>639</v>
      </c>
      <c r="G63" s="1041"/>
      <c r="H63" s="1037"/>
    </row>
    <row r="64" spans="1:13" ht="25.5" customHeight="1">
      <c r="A64" s="1042"/>
      <c r="B64" s="1043"/>
      <c r="C64" s="90"/>
      <c r="D64" s="45"/>
      <c r="E64" s="81"/>
      <c r="F64" s="45"/>
      <c r="G64" s="45"/>
      <c r="H64" s="91"/>
    </row>
    <row r="65" spans="1:8" ht="15.5">
      <c r="A65" s="19"/>
      <c r="B65" s="7"/>
      <c r="C65" s="4"/>
      <c r="D65" s="7"/>
      <c r="E65" s="7"/>
      <c r="F65" s="7"/>
      <c r="G65" s="7"/>
      <c r="H65" s="7"/>
    </row>
    <row r="66" spans="1:8" ht="15.5">
      <c r="A66" s="19"/>
      <c r="B66" s="19"/>
      <c r="C66" s="21"/>
      <c r="D66" s="19"/>
      <c r="E66" s="19"/>
      <c r="F66" s="19"/>
      <c r="G66" s="19"/>
      <c r="H66" s="19"/>
    </row>
    <row r="67" spans="1:8" ht="15.5">
      <c r="A67" s="21" t="s">
        <v>646</v>
      </c>
      <c r="B67" s="19"/>
      <c r="C67" s="21"/>
      <c r="D67" s="19"/>
      <c r="E67" s="19"/>
      <c r="F67" s="19"/>
      <c r="G67" s="19"/>
      <c r="H67" s="19"/>
    </row>
    <row r="68" spans="1:8" ht="15.5">
      <c r="A68" s="21"/>
      <c r="B68" s="19"/>
      <c r="C68" s="21"/>
      <c r="D68" s="19"/>
      <c r="E68" s="19"/>
      <c r="F68" s="19"/>
      <c r="G68" s="19"/>
      <c r="H68" s="19"/>
    </row>
    <row r="69" spans="1:8" ht="15.75" customHeight="1">
      <c r="A69" s="1079" t="s">
        <v>647</v>
      </c>
      <c r="B69" s="1027"/>
      <c r="C69" s="1066" t="s">
        <v>643</v>
      </c>
      <c r="D69" s="1066" t="s">
        <v>648</v>
      </c>
      <c r="E69" s="1066" t="s">
        <v>649</v>
      </c>
      <c r="F69" s="1066" t="s">
        <v>650</v>
      </c>
      <c r="G69" s="1079" t="s">
        <v>651</v>
      </c>
      <c r="H69" s="1027"/>
    </row>
    <row r="70" spans="1:8" ht="15.75" customHeight="1">
      <c r="A70" s="1028"/>
      <c r="B70" s="1029"/>
      <c r="C70" s="1067"/>
      <c r="D70" s="1067"/>
      <c r="E70" s="1067"/>
      <c r="F70" s="1067"/>
      <c r="G70" s="1028"/>
      <c r="H70" s="1029"/>
    </row>
    <row r="71" spans="1:8" ht="15.75" customHeight="1">
      <c r="A71" s="1030"/>
      <c r="B71" s="1031"/>
      <c r="C71" s="1068"/>
      <c r="D71" s="1068"/>
      <c r="E71" s="1068"/>
      <c r="F71" s="1068"/>
      <c r="G71" s="1030"/>
      <c r="H71" s="1031"/>
    </row>
    <row r="72" spans="1:8" ht="20.25" customHeight="1">
      <c r="A72" s="25" t="s">
        <v>652</v>
      </c>
      <c r="B72" s="44"/>
      <c r="C72" s="40"/>
      <c r="D72" s="95" t="s">
        <v>653</v>
      </c>
      <c r="E72" s="84"/>
      <c r="F72" s="84" t="s">
        <v>653</v>
      </c>
      <c r="G72" s="96"/>
      <c r="H72" s="97"/>
    </row>
    <row r="73" spans="1:8" ht="20.25" customHeight="1">
      <c r="A73" s="25" t="s">
        <v>654</v>
      </c>
      <c r="B73" s="44"/>
      <c r="C73" s="40"/>
      <c r="D73" s="95" t="s">
        <v>653</v>
      </c>
      <c r="E73" s="30"/>
      <c r="F73" s="30" t="s">
        <v>653</v>
      </c>
      <c r="G73" s="44"/>
      <c r="H73" s="41"/>
    </row>
    <row r="74" spans="1:8" ht="20.25" customHeight="1">
      <c r="A74" s="25" t="s">
        <v>655</v>
      </c>
      <c r="B74" s="44"/>
      <c r="C74" s="40"/>
      <c r="D74" s="95" t="s">
        <v>653</v>
      </c>
      <c r="E74" s="40"/>
      <c r="F74" s="40"/>
      <c r="G74" s="44"/>
      <c r="H74" s="41"/>
    </row>
    <row r="75" spans="1:8" ht="20.25" customHeight="1">
      <c r="A75" s="25" t="s">
        <v>656</v>
      </c>
      <c r="B75" s="44"/>
      <c r="C75" s="40"/>
      <c r="D75" s="95" t="s">
        <v>653</v>
      </c>
      <c r="E75" s="40"/>
      <c r="F75" s="40"/>
      <c r="G75" s="44"/>
      <c r="H75" s="41"/>
    </row>
    <row r="76" spans="1:8" ht="20.25" customHeight="1">
      <c r="A76" s="25" t="s">
        <v>657</v>
      </c>
      <c r="B76" s="44"/>
      <c r="C76" s="40"/>
      <c r="D76" s="95"/>
      <c r="E76" s="40"/>
      <c r="F76" s="40"/>
      <c r="G76" s="44"/>
      <c r="H76" s="41"/>
    </row>
    <row r="77" spans="1:8" ht="30.75" customHeight="1">
      <c r="A77" s="1044" t="s">
        <v>658</v>
      </c>
      <c r="B77" s="1045"/>
      <c r="C77" s="1045"/>
      <c r="D77" s="1045"/>
      <c r="E77" s="1046"/>
      <c r="F77" s="1042"/>
      <c r="G77" s="1047"/>
      <c r="H77" s="1043"/>
    </row>
    <row r="78" spans="1:8" ht="55.5" customHeight="1">
      <c r="A78" s="1048" t="s">
        <v>659</v>
      </c>
      <c r="B78" s="1049"/>
      <c r="C78" s="1049"/>
      <c r="D78" s="1049"/>
      <c r="E78" s="1049"/>
      <c r="F78" s="1049"/>
      <c r="G78" s="1049"/>
      <c r="H78" s="1050"/>
    </row>
    <row r="79" spans="1:8" ht="15.5">
      <c r="A79" s="19"/>
      <c r="B79" s="19"/>
      <c r="C79" s="19"/>
      <c r="D79" s="19"/>
      <c r="E79" s="19"/>
      <c r="F79" s="19"/>
      <c r="G79" s="19"/>
      <c r="H79" s="19"/>
    </row>
    <row r="80" spans="1:8" ht="15.5">
      <c r="A80" s="21" t="s">
        <v>660</v>
      </c>
      <c r="B80" s="19"/>
      <c r="C80" s="19"/>
      <c r="D80" s="19"/>
      <c r="E80" s="19"/>
      <c r="F80" s="19"/>
      <c r="G80" s="19"/>
      <c r="H80" s="19"/>
    </row>
    <row r="81" spans="1:8" ht="15.5">
      <c r="A81" s="19"/>
      <c r="B81" s="19"/>
      <c r="C81" s="19"/>
      <c r="D81" s="19"/>
      <c r="E81" s="19"/>
      <c r="F81" s="19"/>
      <c r="G81" s="19"/>
      <c r="H81" s="19"/>
    </row>
    <row r="82" spans="1:8" ht="31.5" customHeight="1">
      <c r="A82" s="1051" t="s">
        <v>661</v>
      </c>
      <c r="B82" s="1050"/>
      <c r="C82" s="98" t="s">
        <v>662</v>
      </c>
      <c r="D82" s="1052" t="s">
        <v>663</v>
      </c>
      <c r="E82" s="1053"/>
      <c r="F82" s="1048" t="s">
        <v>664</v>
      </c>
      <c r="G82" s="1049"/>
      <c r="H82" s="1050"/>
    </row>
    <row r="83" spans="1:8" ht="19.5" customHeight="1">
      <c r="A83" s="1054" t="s">
        <v>655</v>
      </c>
      <c r="B83" s="1055"/>
      <c r="C83" s="99">
        <f>'PROJECT REPORT '!H363</f>
        <v>50000</v>
      </c>
      <c r="D83" s="1042" t="str">
        <f>'PROJECT REPORT '!B363</f>
        <v>Working Capital  (Cash Credit)</v>
      </c>
      <c r="E83" s="1043"/>
      <c r="F83" s="1056">
        <f>'PROJECT REPORT '!J363</f>
        <v>139830</v>
      </c>
      <c r="G83" s="1047"/>
      <c r="H83" s="1043"/>
    </row>
    <row r="84" spans="1:8" ht="19.5" customHeight="1">
      <c r="A84" s="1054" t="s">
        <v>656</v>
      </c>
      <c r="B84" s="1055"/>
      <c r="C84" s="99">
        <f>'PROJECT REPORT '!H361</f>
        <v>585750</v>
      </c>
      <c r="D84" s="1042" t="str">
        <f>'PROJECT REPORT '!B361</f>
        <v>Fixed Investments (Term Loan)</v>
      </c>
      <c r="E84" s="1043"/>
      <c r="F84" s="1056">
        <f>'PROJECT REPORT '!J361</f>
        <v>781000</v>
      </c>
      <c r="G84" s="1047"/>
      <c r="H84" s="1043"/>
    </row>
    <row r="85" spans="1:8" ht="19.5" customHeight="1">
      <c r="A85" s="1054" t="s">
        <v>657</v>
      </c>
      <c r="B85" s="1055"/>
      <c r="C85" s="25">
        <v>0</v>
      </c>
      <c r="D85" s="1042"/>
      <c r="E85" s="1043"/>
      <c r="F85" s="1042"/>
      <c r="G85" s="1047"/>
      <c r="H85" s="1043"/>
    </row>
    <row r="86" spans="1:8" ht="19.5" customHeight="1">
      <c r="A86" s="1054" t="s">
        <v>218</v>
      </c>
      <c r="B86" s="1055"/>
      <c r="C86" s="99">
        <f>SUM(C83:C85)</f>
        <v>635750</v>
      </c>
      <c r="D86" s="1042"/>
      <c r="E86" s="1043"/>
      <c r="F86" s="1056">
        <f>SUM(F83:F85)</f>
        <v>920830</v>
      </c>
      <c r="G86" s="1047"/>
      <c r="H86" s="1043"/>
    </row>
    <row r="87" spans="1:8" ht="19.5" customHeight="1">
      <c r="A87" s="5"/>
      <c r="B87" s="5"/>
      <c r="C87" s="100"/>
      <c r="D87" s="7"/>
      <c r="E87" s="7"/>
      <c r="F87" s="101"/>
      <c r="G87" s="7"/>
      <c r="H87" s="7"/>
    </row>
    <row r="88" spans="1:8" ht="15.5">
      <c r="A88" s="19"/>
      <c r="B88" s="19"/>
      <c r="C88" s="19"/>
      <c r="D88" s="19"/>
      <c r="E88" s="19"/>
      <c r="F88" s="19"/>
      <c r="G88" s="19"/>
      <c r="H88" s="19"/>
    </row>
    <row r="89" spans="1:8" ht="15.5">
      <c r="A89" s="21" t="s">
        <v>665</v>
      </c>
      <c r="B89" s="19"/>
      <c r="C89" s="19"/>
      <c r="D89" s="19"/>
      <c r="E89" s="19"/>
      <c r="F89" s="19"/>
      <c r="G89" s="19"/>
      <c r="H89" s="19"/>
    </row>
    <row r="90" spans="1:8" ht="15.5">
      <c r="A90" s="19"/>
      <c r="B90" s="19"/>
      <c r="C90" s="19"/>
      <c r="D90" s="19"/>
      <c r="E90" s="19"/>
      <c r="F90" s="19"/>
      <c r="G90" s="19"/>
      <c r="H90" s="19"/>
    </row>
    <row r="91" spans="1:8" ht="15.5">
      <c r="A91" s="1042" t="s">
        <v>666</v>
      </c>
      <c r="B91" s="1043"/>
      <c r="C91" s="1042" t="s">
        <v>667</v>
      </c>
      <c r="D91" s="1047"/>
      <c r="E91" s="1047"/>
      <c r="F91" s="1047"/>
      <c r="G91" s="1047"/>
      <c r="H91" s="1043"/>
    </row>
    <row r="92" spans="1:8" ht="60" customHeight="1">
      <c r="A92" s="102" t="s">
        <v>668</v>
      </c>
      <c r="B92" s="102" t="s">
        <v>669</v>
      </c>
      <c r="C92" s="103" t="s">
        <v>670</v>
      </c>
      <c r="D92" s="102" t="s">
        <v>671</v>
      </c>
      <c r="E92" s="102" t="s">
        <v>672</v>
      </c>
      <c r="F92" s="102" t="s">
        <v>673</v>
      </c>
      <c r="G92" s="103" t="s">
        <v>674</v>
      </c>
      <c r="H92" s="71" t="s">
        <v>675</v>
      </c>
    </row>
    <row r="93" spans="1:8" ht="15.5">
      <c r="A93" s="25"/>
      <c r="B93" s="40"/>
      <c r="C93" s="30">
        <f>'PROJECT REPORT '!P16</f>
        <v>3</v>
      </c>
      <c r="D93" s="104">
        <f>'T,P&amp;L,BS'!F82</f>
        <v>130350</v>
      </c>
      <c r="E93" s="104">
        <f>'T,P&amp;L,BS'!F125</f>
        <v>4022.1833333330578</v>
      </c>
      <c r="F93" s="104">
        <f>'T,P&amp;L,BS'!C128</f>
        <v>27224.583333333328</v>
      </c>
      <c r="G93" s="104">
        <f>'PROJECT REPORT '!F363</f>
        <v>89830</v>
      </c>
      <c r="H93" s="105">
        <f>'PROJECT REPORT '!H363</f>
        <v>50000</v>
      </c>
    </row>
    <row r="94" spans="1:8" ht="15.5">
      <c r="A94" s="19"/>
      <c r="B94" s="19"/>
      <c r="C94" s="7"/>
      <c r="D94" s="101"/>
      <c r="E94" s="101"/>
      <c r="F94" s="101"/>
      <c r="G94" s="101"/>
      <c r="H94" s="101"/>
    </row>
    <row r="95" spans="1:8" ht="15.5">
      <c r="A95" s="19"/>
      <c r="B95" s="19"/>
      <c r="C95" s="19"/>
      <c r="D95" s="19"/>
      <c r="E95" s="19"/>
      <c r="F95" s="19"/>
      <c r="G95" s="19"/>
      <c r="H95" s="19"/>
    </row>
    <row r="96" spans="1:8" ht="15.5">
      <c r="A96" s="21" t="s">
        <v>676</v>
      </c>
      <c r="B96" s="19"/>
      <c r="C96" s="19"/>
      <c r="D96" s="19"/>
      <c r="E96" s="19"/>
      <c r="F96" s="19"/>
      <c r="G96" s="19"/>
      <c r="H96" s="19"/>
    </row>
    <row r="97" spans="1:8" ht="15.5">
      <c r="A97" s="21"/>
      <c r="B97" s="19"/>
      <c r="C97" s="19"/>
      <c r="D97" s="19"/>
      <c r="E97" s="19"/>
      <c r="F97" s="19"/>
      <c r="G97" s="19"/>
      <c r="H97" s="19"/>
    </row>
    <row r="98" spans="1:8" ht="44.25" customHeight="1">
      <c r="A98" s="87" t="s">
        <v>677</v>
      </c>
      <c r="B98" s="103" t="s">
        <v>678</v>
      </c>
      <c r="C98" s="106" t="s">
        <v>679</v>
      </c>
      <c r="D98" s="103" t="s">
        <v>680</v>
      </c>
      <c r="E98" s="1024" t="s">
        <v>681</v>
      </c>
      <c r="F98" s="1039"/>
      <c r="G98" s="1024" t="s">
        <v>682</v>
      </c>
      <c r="H98" s="1039"/>
    </row>
    <row r="99" spans="1:8" ht="20.25" customHeight="1">
      <c r="A99" s="40"/>
      <c r="B99" s="44"/>
      <c r="C99" s="40"/>
      <c r="D99" s="44"/>
      <c r="E99" s="1042"/>
      <c r="F99" s="1043"/>
      <c r="G99" s="1042"/>
      <c r="H99" s="1043"/>
    </row>
    <row r="100" spans="1:8" ht="20.25" customHeight="1">
      <c r="A100" s="51"/>
      <c r="B100" s="35"/>
      <c r="C100" s="51"/>
      <c r="D100" s="44"/>
      <c r="E100" s="1042"/>
      <c r="F100" s="1043"/>
      <c r="G100" s="1042"/>
      <c r="H100" s="1043"/>
    </row>
    <row r="101" spans="1:8" ht="20.25" customHeight="1">
      <c r="A101" s="25"/>
      <c r="B101" s="44"/>
      <c r="C101" s="107" t="s">
        <v>218</v>
      </c>
      <c r="D101" s="108">
        <f>'PROJECT REPORT '!J361</f>
        <v>781000</v>
      </c>
      <c r="E101" s="1056">
        <f>'PROJECT REPORT '!F361</f>
        <v>195250</v>
      </c>
      <c r="F101" s="1043"/>
      <c r="G101" s="1056">
        <f>'PROJECT REPORT '!H361</f>
        <v>585750</v>
      </c>
      <c r="H101" s="1043"/>
    </row>
    <row r="102" spans="1:8" ht="20.25" customHeight="1">
      <c r="A102" s="19"/>
      <c r="B102" s="19"/>
      <c r="C102" s="19"/>
      <c r="D102" s="19"/>
      <c r="E102" s="19"/>
      <c r="F102" s="19"/>
      <c r="G102" s="19"/>
      <c r="H102" s="19"/>
    </row>
    <row r="103" spans="1:8" ht="20.25" customHeight="1">
      <c r="A103" s="109" t="s">
        <v>683</v>
      </c>
      <c r="B103" s="110"/>
      <c r="C103" s="110"/>
      <c r="D103" s="110"/>
      <c r="E103" s="111" t="s">
        <v>684</v>
      </c>
      <c r="F103" s="44" t="s">
        <v>685</v>
      </c>
      <c r="G103" s="99">
        <f>'PROJECT REPORT '!P38</f>
        <v>60</v>
      </c>
      <c r="H103" s="41" t="s">
        <v>686</v>
      </c>
    </row>
    <row r="104" spans="1:8" ht="15.5">
      <c r="A104" s="19"/>
      <c r="B104" s="19"/>
      <c r="C104" s="19"/>
      <c r="D104" s="19"/>
      <c r="E104" s="19"/>
      <c r="F104" s="19"/>
      <c r="G104" s="19"/>
      <c r="H104" s="19"/>
    </row>
    <row r="105" spans="1:8" ht="15.5">
      <c r="A105" s="19"/>
      <c r="B105" s="19"/>
      <c r="C105" s="19"/>
      <c r="D105" s="19"/>
      <c r="E105" s="19"/>
      <c r="F105" s="19"/>
      <c r="G105" s="19"/>
      <c r="H105" s="19"/>
    </row>
    <row r="106" spans="1:8" ht="15.5">
      <c r="A106" s="19"/>
      <c r="B106" s="19"/>
      <c r="C106" s="19"/>
      <c r="D106" s="19"/>
      <c r="E106" s="19"/>
      <c r="F106" s="19"/>
      <c r="G106" s="19"/>
      <c r="H106" s="19"/>
    </row>
    <row r="107" spans="1:8" ht="15.5">
      <c r="A107" s="19"/>
      <c r="B107" s="19"/>
      <c r="C107" s="19"/>
      <c r="D107" s="19"/>
      <c r="E107" s="19"/>
      <c r="F107" s="19"/>
      <c r="G107" s="19"/>
      <c r="H107" s="19"/>
    </row>
    <row r="108" spans="1:8" ht="15.5">
      <c r="A108" s="21" t="s">
        <v>687</v>
      </c>
      <c r="B108" s="19"/>
      <c r="C108" s="19"/>
      <c r="D108" s="19"/>
      <c r="E108" s="19"/>
      <c r="F108" s="19"/>
      <c r="G108" s="19"/>
      <c r="H108" s="19"/>
    </row>
    <row r="109" spans="1:8" ht="15.5">
      <c r="A109" s="19"/>
      <c r="B109" s="19"/>
      <c r="C109" s="19"/>
      <c r="D109" s="19"/>
      <c r="E109" s="19"/>
      <c r="F109" s="19"/>
      <c r="G109" s="19"/>
      <c r="H109" s="19"/>
    </row>
    <row r="110" spans="1:8" ht="51.75" customHeight="1">
      <c r="A110" s="1048" t="s">
        <v>688</v>
      </c>
      <c r="B110" s="1049"/>
      <c r="C110" s="1049"/>
      <c r="D110" s="1049"/>
      <c r="E110" s="1049"/>
      <c r="F110" s="1049"/>
      <c r="G110" s="1049"/>
      <c r="H110" s="1050"/>
    </row>
    <row r="111" spans="1:8" ht="45" customHeight="1">
      <c r="A111" s="48"/>
      <c r="B111" s="112" t="s">
        <v>689</v>
      </c>
      <c r="C111" s="1036" t="s">
        <v>690</v>
      </c>
      <c r="D111" s="1037"/>
      <c r="E111" s="1036" t="s">
        <v>691</v>
      </c>
      <c r="F111" s="1037"/>
      <c r="G111" s="1040" t="s">
        <v>692</v>
      </c>
      <c r="H111" s="1037"/>
    </row>
    <row r="112" spans="1:8" ht="23.25" customHeight="1">
      <c r="A112" s="25" t="s">
        <v>693</v>
      </c>
      <c r="B112" s="40"/>
      <c r="C112" s="1042"/>
      <c r="D112" s="1043"/>
      <c r="E112" s="1056">
        <f>'T,P&amp;L,BS'!F78</f>
        <v>1088983.3333333333</v>
      </c>
      <c r="F112" s="1043"/>
      <c r="G112" s="1056">
        <f>'T,P&amp;L,BS'!F149</f>
        <v>1766757.4268491447</v>
      </c>
      <c r="H112" s="1043"/>
    </row>
    <row r="113" spans="1:8" ht="23.25" customHeight="1">
      <c r="A113" s="25" t="s">
        <v>694</v>
      </c>
      <c r="B113" s="40"/>
      <c r="C113" s="1042"/>
      <c r="D113" s="1043"/>
      <c r="E113" s="1056">
        <f>'T,P&amp;L,BS'!C98</f>
        <v>292139.96666666656</v>
      </c>
      <c r="F113" s="1043"/>
      <c r="G113" s="1056">
        <f>'T,P&amp;L,BS'!C169</f>
        <v>388106.72281581134</v>
      </c>
      <c r="H113" s="1043"/>
    </row>
    <row r="114" spans="1:8" ht="49.5" customHeight="1">
      <c r="A114" s="113" t="s">
        <v>695</v>
      </c>
      <c r="B114" s="40"/>
      <c r="C114" s="1042"/>
      <c r="D114" s="1043"/>
      <c r="E114" s="44"/>
      <c r="F114" s="108">
        <f>'T,P&amp;L,BS'!C118</f>
        <v>537219.96666666656</v>
      </c>
      <c r="G114" s="25"/>
      <c r="H114" s="114">
        <f>'T,P&amp;L,BS'!C188</f>
        <v>865326.68948247796</v>
      </c>
    </row>
    <row r="115" spans="1:8" ht="15.5">
      <c r="A115" s="115"/>
      <c r="B115" s="19"/>
      <c r="C115" s="19"/>
      <c r="D115" s="19"/>
      <c r="E115" s="19"/>
      <c r="F115" s="19"/>
      <c r="G115" s="19"/>
      <c r="H115" s="19"/>
    </row>
    <row r="116" spans="1:8" ht="15.5">
      <c r="A116" s="21" t="s">
        <v>696</v>
      </c>
      <c r="B116" s="116"/>
      <c r="C116" s="116"/>
      <c r="D116" s="116"/>
      <c r="E116" s="116"/>
      <c r="F116" s="116"/>
      <c r="G116" s="116"/>
      <c r="H116" s="116"/>
    </row>
    <row r="117" spans="1:8" ht="15.5">
      <c r="A117" s="21"/>
      <c r="B117" s="116"/>
      <c r="C117" s="116"/>
      <c r="D117" s="116"/>
      <c r="E117" s="116"/>
      <c r="F117" s="116"/>
      <c r="G117" s="116"/>
      <c r="H117" s="116"/>
    </row>
    <row r="118" spans="1:8" ht="86.25" customHeight="1">
      <c r="A118" s="1051" t="s">
        <v>697</v>
      </c>
      <c r="B118" s="1049"/>
      <c r="C118" s="1050"/>
      <c r="D118" s="1057" t="s">
        <v>698</v>
      </c>
      <c r="E118" s="1058"/>
      <c r="F118" s="1059" t="s">
        <v>699</v>
      </c>
      <c r="G118" s="1060"/>
      <c r="H118" s="1023"/>
    </row>
    <row r="119" spans="1:8" ht="15.5">
      <c r="A119" s="27"/>
      <c r="B119" s="35"/>
      <c r="C119" s="28"/>
      <c r="D119" s="27"/>
      <c r="E119" s="28"/>
      <c r="F119" s="27"/>
      <c r="G119" s="35"/>
      <c r="H119" s="28"/>
    </row>
    <row r="120" spans="1:8" ht="20.25" customHeight="1">
      <c r="A120" s="48" t="s">
        <v>700</v>
      </c>
      <c r="B120" s="44"/>
      <c r="C120" s="41"/>
      <c r="D120" s="25"/>
      <c r="E120" s="41" t="s">
        <v>701</v>
      </c>
      <c r="F120" s="25"/>
      <c r="G120" s="44"/>
      <c r="H120" s="41"/>
    </row>
    <row r="121" spans="1:8" ht="20.25" customHeight="1">
      <c r="A121" s="55" t="s">
        <v>702</v>
      </c>
      <c r="B121" s="19"/>
      <c r="C121" s="38"/>
      <c r="D121" s="55"/>
      <c r="E121" s="38"/>
      <c r="F121" s="55"/>
      <c r="G121" s="19"/>
      <c r="H121" s="38"/>
    </row>
    <row r="122" spans="1:8" ht="20.25" customHeight="1">
      <c r="A122" s="25" t="s">
        <v>703</v>
      </c>
      <c r="B122" s="25"/>
      <c r="C122" s="41"/>
      <c r="D122" s="25"/>
      <c r="E122" s="41" t="s">
        <v>639</v>
      </c>
      <c r="F122" s="1042"/>
      <c r="G122" s="1047"/>
      <c r="H122" s="1043"/>
    </row>
    <row r="123" spans="1:8" ht="20.25" customHeight="1">
      <c r="A123" s="55" t="s">
        <v>704</v>
      </c>
      <c r="B123" s="19"/>
      <c r="C123" s="38"/>
      <c r="D123" s="55"/>
      <c r="E123" s="38"/>
      <c r="F123" s="55"/>
      <c r="G123" s="19"/>
      <c r="H123" s="117"/>
    </row>
    <row r="124" spans="1:8" ht="20.25" customHeight="1">
      <c r="A124" s="25" t="s">
        <v>705</v>
      </c>
      <c r="B124" s="44"/>
      <c r="C124" s="41"/>
      <c r="D124" s="25"/>
      <c r="E124" s="41"/>
      <c r="F124" s="25"/>
      <c r="G124" s="44"/>
      <c r="H124" s="32"/>
    </row>
    <row r="125" spans="1:8" ht="20.25" customHeight="1">
      <c r="A125" s="56" t="s">
        <v>706</v>
      </c>
      <c r="B125" s="57"/>
      <c r="C125" s="47"/>
      <c r="D125" s="56"/>
      <c r="E125" s="47" t="s">
        <v>639</v>
      </c>
      <c r="F125" s="56"/>
      <c r="G125" s="57"/>
      <c r="H125" s="91"/>
    </row>
    <row r="126" spans="1:8" ht="20.25" customHeight="1">
      <c r="A126" s="19"/>
      <c r="B126" s="19"/>
      <c r="C126" s="19"/>
      <c r="D126" s="19"/>
      <c r="E126" s="19"/>
      <c r="F126" s="19"/>
      <c r="G126" s="19"/>
      <c r="H126" s="7"/>
    </row>
    <row r="127" spans="1:8" ht="15.5">
      <c r="A127" s="21" t="s">
        <v>707</v>
      </c>
      <c r="B127" s="19"/>
      <c r="C127" s="118"/>
      <c r="D127" s="19"/>
      <c r="E127" s="19"/>
      <c r="F127" s="19"/>
      <c r="G127" s="19"/>
      <c r="H127" s="19"/>
    </row>
    <row r="128" spans="1:8" ht="15.5">
      <c r="A128" s="19"/>
      <c r="B128" s="19"/>
      <c r="C128" s="118"/>
      <c r="D128" s="19"/>
      <c r="E128" s="19"/>
      <c r="F128" s="19"/>
      <c r="G128" s="118"/>
      <c r="H128" s="19"/>
    </row>
    <row r="129" spans="1:8" ht="20.25" customHeight="1">
      <c r="A129" s="1061" t="s">
        <v>708</v>
      </c>
      <c r="B129" s="1061"/>
      <c r="C129" s="1061"/>
      <c r="D129" s="1061"/>
      <c r="E129" s="1061"/>
      <c r="F129" s="1061"/>
      <c r="G129" s="1061"/>
      <c r="H129" s="1061"/>
    </row>
    <row r="130" spans="1:8" ht="20.25" customHeight="1">
      <c r="A130" s="5" t="s">
        <v>709</v>
      </c>
      <c r="B130" s="19"/>
      <c r="C130" s="19"/>
      <c r="D130" s="19"/>
      <c r="E130" s="19"/>
      <c r="F130" s="19"/>
      <c r="G130" s="19"/>
      <c r="H130" s="19"/>
    </row>
    <row r="131" spans="1:8" ht="20.25" customHeight="1">
      <c r="A131" s="19" t="s">
        <v>710</v>
      </c>
      <c r="B131" s="19"/>
      <c r="C131" s="19"/>
      <c r="D131" s="19"/>
      <c r="E131" s="19"/>
      <c r="F131" s="19"/>
      <c r="G131" s="19"/>
      <c r="H131" s="19"/>
    </row>
    <row r="132" spans="1:8" ht="20.25" customHeight="1">
      <c r="A132" s="19" t="s">
        <v>711</v>
      </c>
      <c r="B132" s="19"/>
      <c r="C132" s="19"/>
      <c r="D132" s="19"/>
      <c r="E132" s="19"/>
      <c r="F132" s="19"/>
      <c r="G132" s="19"/>
      <c r="H132" s="19"/>
    </row>
    <row r="133" spans="1:8" ht="20.25" customHeight="1">
      <c r="A133" s="19" t="s">
        <v>712</v>
      </c>
      <c r="B133" s="19"/>
      <c r="C133" s="19"/>
      <c r="D133" s="19"/>
      <c r="E133" s="19"/>
      <c r="F133" s="19"/>
      <c r="G133" s="19"/>
      <c r="H133" s="19"/>
    </row>
    <row r="134" spans="1:8" ht="20.25" customHeight="1">
      <c r="A134" s="19" t="s">
        <v>713</v>
      </c>
      <c r="B134" s="19"/>
      <c r="C134" s="19"/>
      <c r="D134" s="19"/>
      <c r="E134" s="19"/>
      <c r="F134" s="19"/>
      <c r="G134" s="19"/>
      <c r="H134" s="19"/>
    </row>
    <row r="135" spans="1:8" ht="15.5">
      <c r="A135" s="19"/>
      <c r="B135" s="19"/>
      <c r="C135" s="19"/>
      <c r="D135" s="19"/>
      <c r="E135" s="19"/>
      <c r="F135" s="19"/>
      <c r="G135" s="19"/>
      <c r="H135" s="19"/>
    </row>
    <row r="136" spans="1:8" ht="15.5">
      <c r="A136" s="19"/>
      <c r="B136" s="19"/>
      <c r="C136" s="19"/>
      <c r="D136" s="19"/>
      <c r="E136" s="19"/>
      <c r="F136" s="19"/>
      <c r="G136" s="19"/>
      <c r="H136" s="19"/>
    </row>
    <row r="137" spans="1:8" ht="150" customHeight="1">
      <c r="A137" s="1062" t="s">
        <v>714</v>
      </c>
      <c r="B137" s="1063"/>
      <c r="C137" s="1062" t="s">
        <v>714</v>
      </c>
      <c r="D137" s="1064"/>
      <c r="E137" s="1063"/>
      <c r="F137" s="1062" t="s">
        <v>714</v>
      </c>
      <c r="G137" s="1064"/>
      <c r="H137" s="1063"/>
    </row>
    <row r="138" spans="1:8" ht="45.75" customHeight="1">
      <c r="A138" s="1065" t="s">
        <v>715</v>
      </c>
      <c r="B138" s="1038"/>
      <c r="C138" s="1038"/>
      <c r="D138" s="1038"/>
      <c r="E138" s="1038"/>
      <c r="F138" s="1038"/>
      <c r="G138" s="1038"/>
      <c r="H138" s="1039"/>
    </row>
    <row r="139" spans="1:8" ht="15.5">
      <c r="A139" s="19"/>
      <c r="B139" s="19"/>
      <c r="C139" s="19"/>
      <c r="D139" s="19"/>
      <c r="E139" s="19"/>
      <c r="F139" s="19"/>
      <c r="G139" s="19"/>
      <c r="H139" s="19"/>
    </row>
    <row r="140" spans="1:8" ht="15.5">
      <c r="A140" s="19" t="s">
        <v>716</v>
      </c>
      <c r="B140" s="119">
        <f ca="1">TODAY()+5</f>
        <v>45926</v>
      </c>
      <c r="C140" s="19"/>
      <c r="D140" s="19"/>
      <c r="E140" s="19"/>
      <c r="F140" s="19"/>
      <c r="G140" s="19"/>
      <c r="H140" s="19"/>
    </row>
    <row r="141" spans="1:8" ht="15.5">
      <c r="A141" s="19"/>
      <c r="B141" s="19"/>
      <c r="C141" s="19"/>
      <c r="D141" s="19"/>
      <c r="E141" s="19"/>
      <c r="F141" s="19"/>
      <c r="G141" s="19"/>
      <c r="H141" s="19"/>
    </row>
    <row r="142" spans="1:8" ht="15.5">
      <c r="A142" s="19" t="s">
        <v>717</v>
      </c>
      <c r="B142" s="19" t="str">
        <f>'PROJECT REPORT '!H53</f>
        <v>NILESHWAR</v>
      </c>
      <c r="C142" s="19"/>
      <c r="D142" s="19"/>
      <c r="E142" s="19"/>
      <c r="F142" s="19"/>
      <c r="G142" s="19"/>
      <c r="H142" s="19"/>
    </row>
    <row r="143" spans="1:8" ht="15.5">
      <c r="A143" s="5"/>
      <c r="B143" s="19"/>
      <c r="C143" s="19"/>
      <c r="D143" s="19"/>
      <c r="E143" s="19"/>
      <c r="F143" s="19"/>
      <c r="G143" s="19"/>
      <c r="H143" s="19"/>
    </row>
    <row r="144" spans="1:8" ht="15.5">
      <c r="A144" s="19"/>
      <c r="B144" s="19"/>
      <c r="C144" s="19"/>
      <c r="D144" s="120"/>
      <c r="E144" s="120"/>
      <c r="F144" s="19"/>
      <c r="G144" s="19"/>
      <c r="H144" s="19"/>
    </row>
    <row r="147" spans="1:5" ht="21" customHeight="1">
      <c r="A147" s="19" t="s">
        <v>718</v>
      </c>
      <c r="B147" s="19"/>
      <c r="C147" s="19"/>
      <c r="D147" s="19"/>
      <c r="E147" s="19"/>
    </row>
    <row r="148" spans="1:5" ht="21" customHeight="1">
      <c r="A148" s="19" t="s">
        <v>719</v>
      </c>
      <c r="B148" s="19"/>
      <c r="C148" s="19"/>
      <c r="D148" s="19"/>
      <c r="E148" s="19"/>
    </row>
    <row r="149" spans="1:5" ht="21" customHeight="1">
      <c r="A149" s="19" t="s">
        <v>720</v>
      </c>
      <c r="B149" s="19"/>
      <c r="C149" s="19"/>
      <c r="D149" s="19"/>
      <c r="E149" s="19"/>
    </row>
    <row r="150" spans="1:5" ht="21" customHeight="1">
      <c r="A150" s="19" t="s">
        <v>721</v>
      </c>
      <c r="B150" s="19"/>
      <c r="C150" s="19"/>
      <c r="D150" s="19"/>
      <c r="E150" s="19"/>
    </row>
    <row r="151" spans="1:5" ht="21" customHeight="1">
      <c r="A151" s="19" t="s">
        <v>722</v>
      </c>
      <c r="B151" s="19"/>
      <c r="C151" s="19"/>
      <c r="D151" s="19"/>
      <c r="E151" s="19"/>
    </row>
    <row r="152" spans="1:5" ht="21" customHeight="1">
      <c r="A152" s="19" t="s">
        <v>723</v>
      </c>
      <c r="B152" s="19"/>
      <c r="C152" s="19"/>
      <c r="D152" s="19"/>
      <c r="E152" s="19"/>
    </row>
    <row r="153" spans="1:5" ht="21" customHeight="1">
      <c r="A153" s="19" t="s">
        <v>724</v>
      </c>
      <c r="B153" s="19"/>
      <c r="C153" s="19"/>
      <c r="D153" s="19"/>
      <c r="E153" s="19"/>
    </row>
    <row r="154" spans="1:5" ht="21" customHeight="1">
      <c r="A154" s="19" t="s">
        <v>725</v>
      </c>
      <c r="B154" s="19"/>
      <c r="C154" s="19"/>
      <c r="D154" s="19"/>
      <c r="E154" s="19"/>
    </row>
    <row r="155" spans="1:5" ht="21" customHeight="1">
      <c r="A155" s="19" t="s">
        <v>726</v>
      </c>
      <c r="B155" s="19"/>
      <c r="C155" s="19"/>
      <c r="D155" s="19"/>
      <c r="E155" s="19"/>
    </row>
    <row r="156" spans="1:5" ht="21" customHeight="1">
      <c r="A156" s="19" t="s">
        <v>727</v>
      </c>
      <c r="B156" s="19"/>
      <c r="C156" s="19"/>
      <c r="D156" s="19"/>
      <c r="E156" s="19"/>
    </row>
    <row r="157" spans="1:5" ht="21" customHeight="1">
      <c r="A157" s="19" t="s">
        <v>728</v>
      </c>
      <c r="B157" s="19"/>
      <c r="C157" s="19"/>
      <c r="D157" s="19"/>
      <c r="E157" s="19"/>
    </row>
    <row r="158" spans="1:5" ht="21" customHeight="1">
      <c r="A158" s="19" t="s">
        <v>729</v>
      </c>
      <c r="B158" s="19"/>
      <c r="C158" s="19"/>
      <c r="D158" s="19"/>
      <c r="E158" s="19"/>
    </row>
    <row r="159" spans="1:5" ht="21" customHeight="1">
      <c r="A159" s="19" t="s">
        <v>730</v>
      </c>
      <c r="B159" s="19"/>
      <c r="C159" s="19"/>
      <c r="D159" s="19"/>
      <c r="E159" s="19"/>
    </row>
    <row r="160" spans="1:5" ht="21" customHeight="1">
      <c r="A160" s="19" t="s">
        <v>731</v>
      </c>
      <c r="B160" s="19"/>
      <c r="C160" s="19"/>
      <c r="D160" s="19"/>
      <c r="E160" s="19"/>
    </row>
    <row r="161" spans="1:5" ht="21" customHeight="1">
      <c r="A161" s="19" t="s">
        <v>732</v>
      </c>
      <c r="B161" s="19"/>
      <c r="C161" s="19"/>
      <c r="D161" s="19"/>
      <c r="E161" s="19"/>
    </row>
    <row r="162" spans="1:5" ht="21" customHeight="1">
      <c r="A162" s="19" t="s">
        <v>733</v>
      </c>
      <c r="B162" s="19"/>
      <c r="C162" s="19"/>
      <c r="D162" s="19"/>
      <c r="E162" s="19"/>
    </row>
    <row r="163" spans="1:5" ht="21" customHeight="1">
      <c r="A163" s="19" t="s">
        <v>734</v>
      </c>
      <c r="B163" s="19"/>
      <c r="C163" s="19"/>
      <c r="D163" s="19"/>
      <c r="E163" s="19"/>
    </row>
    <row r="164" spans="1:5" ht="21" customHeight="1">
      <c r="A164" s="19" t="s">
        <v>735</v>
      </c>
      <c r="B164" s="19"/>
      <c r="C164" s="19"/>
      <c r="D164" s="19"/>
      <c r="E164" s="19"/>
    </row>
    <row r="165" spans="1:5" ht="21" customHeight="1">
      <c r="A165" s="19" t="s">
        <v>736</v>
      </c>
      <c r="B165" s="19"/>
      <c r="C165" s="19"/>
      <c r="D165" s="19"/>
      <c r="E165" s="19"/>
    </row>
    <row r="166" spans="1:5" ht="21" customHeight="1">
      <c r="A166" s="19" t="s">
        <v>737</v>
      </c>
      <c r="B166" s="19"/>
      <c r="C166" s="19"/>
      <c r="D166" s="19"/>
      <c r="E166" s="19"/>
    </row>
    <row r="167" spans="1:5" ht="21" customHeight="1">
      <c r="A167" s="19" t="s">
        <v>738</v>
      </c>
      <c r="B167" s="19"/>
      <c r="C167" s="19"/>
      <c r="D167" s="19"/>
      <c r="E167" s="19"/>
    </row>
    <row r="168" spans="1:5" ht="21" customHeight="1">
      <c r="A168" s="19"/>
      <c r="B168" s="19"/>
      <c r="C168" s="19"/>
      <c r="D168" s="19"/>
      <c r="E168" s="19"/>
    </row>
  </sheetData>
  <mergeCells count="73">
    <mergeCell ref="A138:H138"/>
    <mergeCell ref="C69:C71"/>
    <mergeCell ref="D69:D71"/>
    <mergeCell ref="E69:E71"/>
    <mergeCell ref="F69:F71"/>
    <mergeCell ref="A69:B71"/>
    <mergeCell ref="G69:H71"/>
    <mergeCell ref="F122:H122"/>
    <mergeCell ref="A129:H129"/>
    <mergeCell ref="A137:B137"/>
    <mergeCell ref="C137:E137"/>
    <mergeCell ref="F137:H137"/>
    <mergeCell ref="C113:D113"/>
    <mergeCell ref="E113:F113"/>
    <mergeCell ref="G113:H113"/>
    <mergeCell ref="C114:D114"/>
    <mergeCell ref="A118:C118"/>
    <mergeCell ref="D118:E118"/>
    <mergeCell ref="F118:H118"/>
    <mergeCell ref="C111:D111"/>
    <mergeCell ref="E111:F111"/>
    <mergeCell ref="G111:H111"/>
    <mergeCell ref="C112:D112"/>
    <mergeCell ref="E112:F112"/>
    <mergeCell ref="G112:H112"/>
    <mergeCell ref="E100:F100"/>
    <mergeCell ref="G100:H100"/>
    <mergeCell ref="E101:F101"/>
    <mergeCell ref="G101:H101"/>
    <mergeCell ref="A110:H110"/>
    <mergeCell ref="A91:B91"/>
    <mergeCell ref="C91:H91"/>
    <mergeCell ref="E98:F98"/>
    <mergeCell ref="G98:H98"/>
    <mergeCell ref="E99:F99"/>
    <mergeCell ref="G99:H99"/>
    <mergeCell ref="A85:B85"/>
    <mergeCell ref="D85:E85"/>
    <mergeCell ref="F85:H85"/>
    <mergeCell ref="A86:B86"/>
    <mergeCell ref="D86:E86"/>
    <mergeCell ref="F86:H86"/>
    <mergeCell ref="A83:B83"/>
    <mergeCell ref="D83:E83"/>
    <mergeCell ref="F83:H83"/>
    <mergeCell ref="A84:B84"/>
    <mergeCell ref="D84:E84"/>
    <mergeCell ref="F84:H84"/>
    <mergeCell ref="A64:B64"/>
    <mergeCell ref="A77:E77"/>
    <mergeCell ref="F77:H77"/>
    <mergeCell ref="A78:H78"/>
    <mergeCell ref="A82:B82"/>
    <mergeCell ref="D82:E82"/>
    <mergeCell ref="F82:H82"/>
    <mergeCell ref="E54:F54"/>
    <mergeCell ref="G54:H54"/>
    <mergeCell ref="A62:B62"/>
    <mergeCell ref="F62:H62"/>
    <mergeCell ref="A63:B63"/>
    <mergeCell ref="F63:H63"/>
    <mergeCell ref="E47:F47"/>
    <mergeCell ref="E48:F48"/>
    <mergeCell ref="E49:F49"/>
    <mergeCell ref="E53:F53"/>
    <mergeCell ref="G53:H53"/>
    <mergeCell ref="A14:B14"/>
    <mergeCell ref="E14:F14"/>
    <mergeCell ref="G14:H14"/>
    <mergeCell ref="E45:F45"/>
    <mergeCell ref="E46:F46"/>
    <mergeCell ref="A18:B19"/>
    <mergeCell ref="C18:H19"/>
  </mergeCells>
  <pageMargins left="0.7" right="0.7" top="0.75" bottom="0.75" header="0.3" footer="0.3"/>
  <pageSetup scale="7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J53"/>
  <sheetViews>
    <sheetView workbookViewId="0">
      <selection activeCell="E53" sqref="A1:E53"/>
    </sheetView>
  </sheetViews>
  <sheetFormatPr defaultColWidth="9" defaultRowHeight="12.5"/>
  <cols>
    <col min="1" max="1" width="4.7265625" customWidth="1"/>
    <col min="2" max="2" width="54.1796875" customWidth="1"/>
    <col min="3" max="3" width="9.1796875" style="1"/>
    <col min="4" max="4" width="8" style="1" customWidth="1"/>
    <col min="5" max="5" width="11.81640625" style="1" customWidth="1"/>
  </cols>
  <sheetData>
    <row r="2" spans="1:10" ht="34.5">
      <c r="A2" s="1080" t="s">
        <v>739</v>
      </c>
      <c r="B2" s="1080"/>
      <c r="C2" s="1080"/>
      <c r="D2" s="1080"/>
      <c r="E2" s="1080"/>
    </row>
    <row r="3" spans="1:10" ht="13">
      <c r="A3" s="1081" t="s">
        <v>740</v>
      </c>
      <c r="B3" s="1081"/>
      <c r="C3" s="1081"/>
      <c r="D3" s="1081"/>
      <c r="E3" s="1081"/>
    </row>
    <row r="4" spans="1:10">
      <c r="A4" s="1082" t="s">
        <v>741</v>
      </c>
      <c r="B4" s="1082"/>
      <c r="C4" s="1082"/>
      <c r="D4" s="1082"/>
      <c r="E4" s="1082"/>
    </row>
    <row r="5" spans="1:10" ht="16.5">
      <c r="A5" s="2" t="s">
        <v>742</v>
      </c>
      <c r="B5" s="3"/>
      <c r="C5" s="4"/>
      <c r="D5" s="4"/>
      <c r="E5" s="4"/>
      <c r="J5" t="s">
        <v>743</v>
      </c>
    </row>
    <row r="6" spans="1:10" ht="15.5">
      <c r="A6" s="5" t="s">
        <v>744</v>
      </c>
      <c r="B6" s="4"/>
      <c r="C6" s="4"/>
      <c r="D6" s="4"/>
      <c r="E6" s="4"/>
    </row>
    <row r="7" spans="1:10" ht="15.5">
      <c r="A7" s="6"/>
      <c r="B7" s="5" t="s">
        <v>745</v>
      </c>
      <c r="C7" s="5" t="s">
        <v>746</v>
      </c>
      <c r="D7" s="7">
        <v>42</v>
      </c>
      <c r="E7" s="7"/>
    </row>
    <row r="8" spans="1:10" ht="15.5">
      <c r="A8" s="6"/>
      <c r="B8" s="5" t="s">
        <v>747</v>
      </c>
      <c r="C8" s="5" t="s">
        <v>748</v>
      </c>
      <c r="D8" s="1083">
        <v>44539</v>
      </c>
      <c r="E8" s="1083"/>
    </row>
    <row r="9" spans="1:10" ht="15.5">
      <c r="A9" s="6"/>
      <c r="B9" s="5" t="s">
        <v>749</v>
      </c>
      <c r="C9" s="4"/>
      <c r="D9" s="4"/>
      <c r="E9" s="4"/>
    </row>
    <row r="10" spans="1:10" ht="15.5">
      <c r="A10" s="6"/>
      <c r="B10" s="4"/>
      <c r="C10" s="4"/>
      <c r="D10" s="4"/>
      <c r="E10" s="4"/>
    </row>
    <row r="12" spans="1:10" ht="16.5" customHeight="1">
      <c r="A12" s="8" t="s">
        <v>750</v>
      </c>
      <c r="B12" s="8" t="s">
        <v>751</v>
      </c>
      <c r="C12" s="9" t="s">
        <v>71</v>
      </c>
      <c r="D12" s="9" t="s">
        <v>72</v>
      </c>
      <c r="E12" s="9" t="s">
        <v>73</v>
      </c>
    </row>
    <row r="13" spans="1:10">
      <c r="A13" s="10">
        <v>1</v>
      </c>
      <c r="B13" s="10" t="s">
        <v>752</v>
      </c>
      <c r="C13" s="11">
        <v>417.71260000000001</v>
      </c>
      <c r="D13" s="11">
        <v>35</v>
      </c>
      <c r="E13" s="11">
        <v>14619.941000000001</v>
      </c>
    </row>
    <row r="14" spans="1:10">
      <c r="A14" s="10">
        <v>2</v>
      </c>
      <c r="B14" s="10" t="s">
        <v>752</v>
      </c>
      <c r="C14" s="11">
        <v>417.71260000000001</v>
      </c>
      <c r="D14" s="11">
        <v>35</v>
      </c>
      <c r="E14" s="11">
        <v>14619.941000000001</v>
      </c>
    </row>
    <row r="15" spans="1:10">
      <c r="A15" s="10">
        <v>3</v>
      </c>
      <c r="B15" s="10" t="s">
        <v>753</v>
      </c>
      <c r="C15" s="11">
        <v>223.30539999999999</v>
      </c>
      <c r="D15" s="11">
        <v>75</v>
      </c>
      <c r="E15" s="11">
        <v>16747.904999999999</v>
      </c>
    </row>
    <row r="16" spans="1:10">
      <c r="A16" s="10">
        <v>4</v>
      </c>
      <c r="B16" s="10" t="s">
        <v>754</v>
      </c>
      <c r="C16" s="11">
        <v>246.9522</v>
      </c>
      <c r="D16" s="11">
        <v>60</v>
      </c>
      <c r="E16" s="11">
        <v>14817.132</v>
      </c>
    </row>
    <row r="17" spans="1:5">
      <c r="A17" s="10">
        <v>5</v>
      </c>
      <c r="B17" s="10" t="s">
        <v>755</v>
      </c>
      <c r="C17" s="11">
        <v>218.0478</v>
      </c>
      <c r="D17" s="11">
        <v>75</v>
      </c>
      <c r="E17" s="11">
        <v>16353.584999999999</v>
      </c>
    </row>
    <row r="18" spans="1:5">
      <c r="A18" s="10">
        <v>6</v>
      </c>
      <c r="B18" s="10" t="s">
        <v>756</v>
      </c>
      <c r="C18" s="11">
        <v>225.9342</v>
      </c>
      <c r="D18" s="11">
        <v>60</v>
      </c>
      <c r="E18" s="11">
        <v>13556.052</v>
      </c>
    </row>
    <row r="19" spans="1:5">
      <c r="A19" s="10">
        <v>7</v>
      </c>
      <c r="B19" s="10" t="s">
        <v>757</v>
      </c>
      <c r="C19" s="11">
        <v>144.49100000000001</v>
      </c>
      <c r="D19" s="11">
        <v>75</v>
      </c>
      <c r="E19" s="11">
        <v>10836.825000000001</v>
      </c>
    </row>
    <row r="20" spans="1:5">
      <c r="A20" s="10">
        <v>8</v>
      </c>
      <c r="B20" s="10" t="s">
        <v>758</v>
      </c>
      <c r="C20" s="11">
        <v>520.16759999999999</v>
      </c>
      <c r="D20" s="11">
        <v>100</v>
      </c>
      <c r="E20" s="11">
        <v>52016.76</v>
      </c>
    </row>
    <row r="21" spans="1:5">
      <c r="A21" s="10">
        <v>9</v>
      </c>
      <c r="B21" s="10" t="s">
        <v>759</v>
      </c>
      <c r="C21" s="11">
        <v>1024.5748000000001</v>
      </c>
      <c r="D21" s="11">
        <v>25</v>
      </c>
      <c r="E21" s="11">
        <v>25614.37</v>
      </c>
    </row>
    <row r="22" spans="1:5">
      <c r="A22" s="10">
        <v>10</v>
      </c>
      <c r="B22" s="10" t="s">
        <v>760</v>
      </c>
      <c r="C22" s="11">
        <v>1011.4432</v>
      </c>
      <c r="D22" s="11">
        <v>22.5</v>
      </c>
      <c r="E22" s="11">
        <v>22757.472000000002</v>
      </c>
    </row>
    <row r="23" spans="1:5">
      <c r="A23" s="10">
        <v>11</v>
      </c>
      <c r="B23" s="10" t="s">
        <v>761</v>
      </c>
      <c r="C23" s="11">
        <v>499.14960000000002</v>
      </c>
      <c r="D23" s="11">
        <v>28</v>
      </c>
      <c r="E23" s="11">
        <v>13976.1888</v>
      </c>
    </row>
    <row r="24" spans="1:5">
      <c r="A24" s="10">
        <v>12</v>
      </c>
      <c r="B24" s="10" t="s">
        <v>762</v>
      </c>
      <c r="C24" s="11">
        <v>530.67660000000001</v>
      </c>
      <c r="D24" s="11">
        <v>15</v>
      </c>
      <c r="E24" s="11">
        <v>7960.1490000000003</v>
      </c>
    </row>
    <row r="25" spans="1:5">
      <c r="A25" s="10">
        <v>13</v>
      </c>
      <c r="B25" s="10" t="s">
        <v>763</v>
      </c>
      <c r="C25" s="11">
        <v>4749.8324000000002</v>
      </c>
      <c r="D25" s="11">
        <v>20</v>
      </c>
      <c r="E25" s="11">
        <v>94996.648000000001</v>
      </c>
    </row>
    <row r="26" spans="1:5">
      <c r="A26" s="10">
        <v>14</v>
      </c>
      <c r="B26" s="10" t="s">
        <v>764</v>
      </c>
      <c r="C26" s="11">
        <v>1710.2514000000001</v>
      </c>
      <c r="D26" s="11">
        <v>15</v>
      </c>
      <c r="E26" s="11">
        <v>25653.771000000001</v>
      </c>
    </row>
    <row r="27" spans="1:5">
      <c r="A27" s="10">
        <v>15</v>
      </c>
      <c r="B27" s="10" t="s">
        <v>765</v>
      </c>
      <c r="C27" s="11">
        <v>499.14960000000002</v>
      </c>
      <c r="D27" s="11">
        <v>20</v>
      </c>
      <c r="E27" s="11">
        <v>9982.9920000000002</v>
      </c>
    </row>
    <row r="28" spans="1:5">
      <c r="A28" s="10">
        <v>16</v>
      </c>
      <c r="B28" s="10" t="s">
        <v>766</v>
      </c>
      <c r="C28" s="11">
        <v>577.44320000000005</v>
      </c>
      <c r="D28" s="11">
        <v>30</v>
      </c>
      <c r="E28" s="11">
        <v>17323.295999999998</v>
      </c>
    </row>
    <row r="29" spans="1:5">
      <c r="A29" s="10">
        <v>17</v>
      </c>
      <c r="B29" s="10" t="s">
        <v>767</v>
      </c>
      <c r="C29" s="11">
        <v>328.38920000000002</v>
      </c>
      <c r="D29" s="11">
        <v>20</v>
      </c>
      <c r="E29" s="11">
        <v>6567.7839999999997</v>
      </c>
    </row>
    <row r="30" spans="1:5">
      <c r="A30" s="10">
        <v>18</v>
      </c>
      <c r="B30" s="10" t="s">
        <v>768</v>
      </c>
      <c r="C30" s="11">
        <v>1313.5568000000001</v>
      </c>
      <c r="D30" s="11">
        <v>25</v>
      </c>
      <c r="E30" s="11">
        <v>32838.92</v>
      </c>
    </row>
    <row r="31" spans="1:5">
      <c r="A31" s="10">
        <v>19</v>
      </c>
      <c r="B31" s="10" t="s">
        <v>769</v>
      </c>
      <c r="C31" s="11">
        <v>606.86220000000003</v>
      </c>
      <c r="D31" s="11">
        <v>25</v>
      </c>
      <c r="E31" s="11">
        <v>15171.555</v>
      </c>
    </row>
    <row r="32" spans="1:5">
      <c r="A32" s="10">
        <v>20</v>
      </c>
      <c r="B32" s="10" t="s">
        <v>770</v>
      </c>
      <c r="C32" s="11">
        <v>409.83240000000001</v>
      </c>
      <c r="D32" s="11">
        <v>20</v>
      </c>
      <c r="E32" s="11">
        <v>8196.6479999999992</v>
      </c>
    </row>
    <row r="33" spans="1:5">
      <c r="A33" s="10">
        <v>21</v>
      </c>
      <c r="B33" s="10" t="s">
        <v>771</v>
      </c>
      <c r="C33" s="11">
        <v>617.37120000000004</v>
      </c>
      <c r="D33" s="11">
        <v>30</v>
      </c>
      <c r="E33" s="11">
        <v>18521.135999999999</v>
      </c>
    </row>
    <row r="34" spans="1:5">
      <c r="A34" s="10">
        <v>22</v>
      </c>
      <c r="B34" s="10" t="s">
        <v>772</v>
      </c>
      <c r="C34" s="11">
        <v>525.42520000000002</v>
      </c>
      <c r="D34" s="11">
        <v>25</v>
      </c>
      <c r="E34" s="11">
        <v>13135.63</v>
      </c>
    </row>
    <row r="35" spans="1:5">
      <c r="A35" s="10">
        <v>23</v>
      </c>
      <c r="B35" s="10" t="s">
        <v>773</v>
      </c>
      <c r="C35" s="11">
        <v>396.69459999999998</v>
      </c>
      <c r="D35" s="11">
        <v>25</v>
      </c>
      <c r="E35" s="11">
        <v>9917.3649999999998</v>
      </c>
    </row>
    <row r="36" spans="1:5">
      <c r="A36" s="10">
        <v>24</v>
      </c>
      <c r="B36" s="10" t="s">
        <v>774</v>
      </c>
      <c r="C36" s="11">
        <v>564.83240000000001</v>
      </c>
      <c r="D36" s="11">
        <v>45</v>
      </c>
      <c r="E36" s="11">
        <v>25417.457999999999</v>
      </c>
    </row>
    <row r="37" spans="1:5">
      <c r="A37" s="10">
        <v>25</v>
      </c>
      <c r="B37" s="10" t="s">
        <v>775</v>
      </c>
      <c r="C37" s="11">
        <v>606.86220000000003</v>
      </c>
      <c r="D37" s="11">
        <v>35</v>
      </c>
      <c r="E37" s="11">
        <v>21240.177</v>
      </c>
    </row>
    <row r="38" spans="1:5">
      <c r="A38" s="10">
        <v>26</v>
      </c>
      <c r="B38" s="10" t="s">
        <v>776</v>
      </c>
      <c r="C38" s="11">
        <v>964.1</v>
      </c>
      <c r="D38" s="11">
        <v>23</v>
      </c>
      <c r="E38" s="11">
        <v>22174.3</v>
      </c>
    </row>
    <row r="39" spans="1:5">
      <c r="A39" s="10">
        <v>27</v>
      </c>
      <c r="B39" s="10" t="s">
        <v>777</v>
      </c>
      <c r="C39" s="11">
        <v>551.69460000000004</v>
      </c>
      <c r="D39" s="11">
        <v>55</v>
      </c>
      <c r="E39" s="11">
        <v>30343.203000000001</v>
      </c>
    </row>
    <row r="40" spans="1:5">
      <c r="A40" s="10">
        <v>28</v>
      </c>
      <c r="B40" s="10" t="s">
        <v>778</v>
      </c>
      <c r="C40" s="11">
        <v>509.65859999999998</v>
      </c>
      <c r="D40" s="11">
        <v>25</v>
      </c>
      <c r="E40" s="11">
        <v>12741.465</v>
      </c>
    </row>
    <row r="41" spans="1:5">
      <c r="A41" s="10">
        <v>29</v>
      </c>
      <c r="B41" s="10" t="s">
        <v>779</v>
      </c>
      <c r="C41" s="11">
        <v>514.9162</v>
      </c>
      <c r="D41" s="11">
        <v>25</v>
      </c>
      <c r="E41" s="11">
        <v>12872.905000000001</v>
      </c>
    </row>
    <row r="42" spans="1:5">
      <c r="A42" s="10">
        <v>30</v>
      </c>
      <c r="B42" s="10" t="s">
        <v>780</v>
      </c>
      <c r="C42" s="11">
        <v>394.06580000000002</v>
      </c>
      <c r="D42" s="11">
        <v>20</v>
      </c>
      <c r="E42" s="11">
        <v>7881.3159999999998</v>
      </c>
    </row>
    <row r="43" spans="1:5">
      <c r="A43" s="10">
        <v>31</v>
      </c>
      <c r="B43" s="10" t="s">
        <v>781</v>
      </c>
      <c r="C43" s="11">
        <v>788.13779999999997</v>
      </c>
      <c r="D43" s="11">
        <v>15</v>
      </c>
      <c r="E43" s="11">
        <v>11822.066999999999</v>
      </c>
    </row>
    <row r="44" spans="1:5">
      <c r="A44" s="10">
        <v>32</v>
      </c>
      <c r="B44" s="10" t="s">
        <v>782</v>
      </c>
      <c r="C44" s="11">
        <v>814.40719999999999</v>
      </c>
      <c r="D44" s="11">
        <v>20</v>
      </c>
      <c r="E44" s="11">
        <v>16288.144</v>
      </c>
    </row>
    <row r="45" spans="1:5">
      <c r="A45" s="10">
        <v>33</v>
      </c>
      <c r="B45" s="10" t="s">
        <v>783</v>
      </c>
      <c r="C45" s="11">
        <v>629.98199999999997</v>
      </c>
      <c r="D45" s="11">
        <v>15</v>
      </c>
      <c r="E45" s="11">
        <v>9449.73</v>
      </c>
    </row>
    <row r="46" spans="1:5" ht="13">
      <c r="A46" s="10"/>
      <c r="B46" s="10"/>
      <c r="C46" s="11"/>
      <c r="D46" s="12">
        <f>SUM(D13:D45)</f>
        <v>1138.5</v>
      </c>
      <c r="E46" s="12">
        <f>SUM(E13:E45)</f>
        <v>646412.8308</v>
      </c>
    </row>
    <row r="47" spans="1:5" ht="13">
      <c r="A47" s="10"/>
      <c r="B47" s="10" t="s">
        <v>541</v>
      </c>
      <c r="C47" s="13" t="s">
        <v>784</v>
      </c>
      <c r="D47" s="11"/>
      <c r="E47" s="11">
        <f>E46*18/100</f>
        <v>116354.309544</v>
      </c>
    </row>
    <row r="48" spans="1:5" ht="15.5">
      <c r="A48" s="10"/>
      <c r="B48" s="10"/>
      <c r="C48" s="12" t="s">
        <v>785</v>
      </c>
      <c r="D48" s="11"/>
      <c r="E48" s="14">
        <f>SUM(E46:E47)</f>
        <v>762767.14034399996</v>
      </c>
    </row>
    <row r="49" spans="1:3">
      <c r="A49" s="15" t="s">
        <v>786</v>
      </c>
    </row>
    <row r="50" spans="1:3">
      <c r="A50" s="15" t="s">
        <v>787</v>
      </c>
    </row>
    <row r="53" spans="1:3" ht="13">
      <c r="C53" s="16" t="s">
        <v>788</v>
      </c>
    </row>
  </sheetData>
  <mergeCells count="4">
    <mergeCell ref="A2:E2"/>
    <mergeCell ref="A3:E3"/>
    <mergeCell ref="A4:E4"/>
    <mergeCell ref="D8:E8"/>
  </mergeCells>
  <pageMargins left="0.7" right="0.7" top="0.75" bottom="0.75" header="0.3" footer="0.3"/>
  <pageSetup paperSize="9" orientation="portrait" horizont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INPUT </vt:lpstr>
      <vt:lpstr>INTRODUCTION </vt:lpstr>
      <vt:lpstr>PROJECT REPORT </vt:lpstr>
      <vt:lpstr>T,P&amp;L,BS</vt:lpstr>
      <vt:lpstr>Depreciation Schedule</vt:lpstr>
      <vt:lpstr>MUDRA </vt:lpstr>
      <vt:lpstr>Sheet1</vt:lpstr>
    </vt:vector>
  </TitlesOfParts>
  <Company>orchid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dc:creator>
  <cp:lastModifiedBy>MI notebook 14</cp:lastModifiedBy>
  <cp:lastPrinted>2025-08-02T06:51:00Z</cp:lastPrinted>
  <dcterms:created xsi:type="dcterms:W3CDTF">2009-09-23T05:50:00Z</dcterms:created>
  <dcterms:modified xsi:type="dcterms:W3CDTF">2025-09-21T08:53:36Z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4401B39CEE2643ED8CE4D0419272644A_12</vt:lpwstr>
  </property>
  <property fmtid="{D5CDD505-2E9C-101B-9397-08002B2CF9AE}" pid="3" name="KSOProductBuildVer">
    <vt:lpwstr>1033-12.2.0.21931</vt:lpwstr>
  </property>
</Properties>
</file>